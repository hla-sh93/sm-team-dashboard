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جرد" sheetId="1" state="visible" r:id="rId1"/>
    <sheet xmlns:r="http://schemas.openxmlformats.org/officeDocument/2006/relationships" name="الملخّص" sheetId="2" state="visible" r:id="rId2"/>
  </sheets>
  <definedNames>
    <definedName name="_xlnm._FilterDatabase" localSheetId="0" hidden="1">'الجرد'!$A$1:$H$37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sz val="9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D9EAD3"/>
      </patternFill>
    </fill>
    <fill>
      <patternFill patternType="solid">
        <fgColor rgb="00F4CCC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center" wrapText="1"/>
    </xf>
    <xf numFmtId="0" fontId="2" fillId="4" borderId="1" applyAlignment="1" pivotButton="0" quotePrefix="0" xfId="0">
      <alignment horizontal="right" vertical="center" wrapText="1"/>
    </xf>
    <xf numFmtId="0" fontId="2" fillId="5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7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7" customWidth="1" min="3" max="3"/>
    <col width="46" customWidth="1" min="4" max="4"/>
    <col width="14" customWidth="1" min="5" max="5"/>
    <col width="14" customWidth="1" min="6" max="6"/>
    <col width="16" customWidth="1" min="7" max="7"/>
    <col width="58" customWidth="1" min="8" max="8"/>
  </cols>
  <sheetData>
    <row r="1">
      <c r="A1" s="1" t="inlineStr">
        <is>
          <t>شهر الخطة (الدورة)</t>
        </is>
      </c>
      <c r="B1" s="1" t="inlineStr">
        <is>
          <t>النوع</t>
        </is>
      </c>
      <c r="C1" s="1" t="inlineStr">
        <is>
          <t>الرقم</t>
        </is>
      </c>
      <c r="D1" s="1" t="inlineStr">
        <is>
          <t>اسم الريل / الكابشن</t>
        </is>
      </c>
      <c r="E1" s="1" t="inlineStr">
        <is>
          <t>تاريخ الإنتاج</t>
        </is>
      </c>
      <c r="F1" s="1" t="inlineStr">
        <is>
          <t>تاريخ النشر</t>
        </is>
      </c>
      <c r="G1" s="1" t="inlineStr">
        <is>
          <t>الحالة</t>
        </is>
      </c>
      <c r="H1" s="1" t="inlineStr">
        <is>
          <t>الدليل</t>
        </is>
      </c>
    </row>
    <row r="2">
      <c r="A2" s="2" t="inlineStr">
        <is>
          <t>15/6 → 15/7</t>
        </is>
      </c>
      <c r="B2" s="2" t="inlineStr">
        <is>
          <t>ريل</t>
        </is>
      </c>
      <c r="C2" s="2" t="n">
        <v>1</v>
      </c>
      <c r="D2" s="2" t="inlineStr">
        <is>
          <t>الدقة بالتشخيص بتبدأ من اختيار التحليل الصح</t>
        </is>
      </c>
      <c r="E2" s="2" t="inlineStr"/>
      <c r="F2" s="2" t="inlineStr">
        <is>
          <t>2026-06-22</t>
        </is>
      </c>
      <c r="G2" s="2" t="inlineStr">
        <is>
          <t>منشور</t>
        </is>
      </c>
      <c r="H2" s="2" t="inlineStr">
        <is>
          <t>instagram.com/dr.nourlab/reel/DZ4eE9KtPZT/</t>
        </is>
      </c>
    </row>
    <row r="3">
      <c r="A3" s="2" t="inlineStr">
        <is>
          <t>15/6 → 15/7</t>
        </is>
      </c>
      <c r="B3" s="2" t="inlineStr">
        <is>
          <t>بوست</t>
        </is>
      </c>
      <c r="C3" s="2" t="n">
        <v>1</v>
      </c>
      <c r="D3" s="2" t="inlineStr">
        <is>
          <t>دخلت وسحبت دم…</t>
        </is>
      </c>
      <c r="E3" s="2" t="inlineStr"/>
      <c r="F3" s="2" t="inlineStr">
        <is>
          <t>2026-06-28</t>
        </is>
      </c>
      <c r="G3" s="2" t="inlineStr">
        <is>
          <t>منشور</t>
        </is>
      </c>
      <c r="H3" s="2" t="inlineStr">
        <is>
          <t>instagram.com/dr.nourlab/p/DaH1aTeCKBS/</t>
        </is>
      </c>
    </row>
    <row r="4">
      <c r="A4" s="2" t="inlineStr">
        <is>
          <t>15/6 → 15/7</t>
        </is>
      </c>
      <c r="B4" s="2" t="inlineStr">
        <is>
          <t>ريل</t>
        </is>
      </c>
      <c r="C4" s="2" t="n">
        <v>2</v>
      </c>
      <c r="D4" s="2" t="inlineStr">
        <is>
          <t>مو الغرض التشكيك بصحتك</t>
        </is>
      </c>
      <c r="E4" s="2" t="inlineStr"/>
      <c r="F4" s="2" t="inlineStr">
        <is>
          <t>2026-07-02</t>
        </is>
      </c>
      <c r="G4" s="2" t="inlineStr">
        <is>
          <t>منشور</t>
        </is>
      </c>
      <c r="H4" s="2" t="inlineStr">
        <is>
          <t>instagram.com/dr.nourlab/reel/DaSyFToNqOM/</t>
        </is>
      </c>
    </row>
    <row r="5">
      <c r="A5" s="2" t="inlineStr">
        <is>
          <t>15/6 → 15/7</t>
        </is>
      </c>
      <c r="B5" s="2" t="inlineStr">
        <is>
          <t>بوست</t>
        </is>
      </c>
      <c r="C5" s="2" t="n">
        <v>2</v>
      </c>
      <c r="D5" s="2" t="inlineStr">
        <is>
          <t>فيكن تطلعولي النتيجة</t>
        </is>
      </c>
      <c r="E5" s="2" t="inlineStr"/>
      <c r="F5" s="2" t="inlineStr">
        <is>
          <t>2026-07-07</t>
        </is>
      </c>
      <c r="G5" s="2" t="inlineStr">
        <is>
          <t>منشور</t>
        </is>
      </c>
      <c r="H5" s="2" t="inlineStr">
        <is>
          <t>instagram.com/dr.nourlab/p/DafleaOCJX4/</t>
        </is>
      </c>
    </row>
    <row r="6">
      <c r="A6" s="2" t="inlineStr">
        <is>
          <t>15/6 → 15/7</t>
        </is>
      </c>
      <c r="B6" s="2" t="inlineStr">
        <is>
          <t>ريل</t>
        </is>
      </c>
      <c r="C6" s="2" t="n">
        <v>3</v>
      </c>
      <c r="D6" s="2" t="inlineStr">
        <is>
          <t>مو كل تحليل بنعمله للإطمئنان</t>
        </is>
      </c>
      <c r="E6" s="2" t="inlineStr"/>
      <c r="F6" s="2" t="inlineStr">
        <is>
          <t>2026-07-09</t>
        </is>
      </c>
      <c r="G6" s="2" t="inlineStr">
        <is>
          <t>منشور</t>
        </is>
      </c>
      <c r="H6" s="2" t="inlineStr">
        <is>
          <t>instagram.com/dr.nourlab/reel/DakrsGctSSu/</t>
        </is>
      </c>
    </row>
    <row r="7">
      <c r="A7" s="2" t="inlineStr">
        <is>
          <t>15/6 → 15/7</t>
        </is>
      </c>
      <c r="B7" s="2" t="inlineStr">
        <is>
          <t>بوست</t>
        </is>
      </c>
      <c r="C7" s="2" t="n">
        <v>3</v>
      </c>
      <c r="D7" s="2" t="inlineStr">
        <is>
          <t>الخوف مو من الإبر</t>
        </is>
      </c>
      <c r="E7" s="2" t="inlineStr"/>
      <c r="F7" s="2" t="inlineStr">
        <is>
          <t>2026-07-13</t>
        </is>
      </c>
      <c r="G7" s="2" t="inlineStr">
        <is>
          <t>منشور</t>
        </is>
      </c>
      <c r="H7" s="2" t="inlineStr">
        <is>
          <t>instagram.com/dr.nourlab/p/DaulD4AiJnX/</t>
        </is>
      </c>
    </row>
    <row r="8">
      <c r="A8" s="3" t="inlineStr">
        <is>
          <t>15/6 → 15/7</t>
        </is>
      </c>
      <c r="B8" s="3" t="inlineStr">
        <is>
          <t>بوست</t>
        </is>
      </c>
      <c r="C8" s="3" t="n">
        <v>4</v>
      </c>
      <c r="D8" s="3" t="inlineStr">
        <is>
          <t>—</t>
        </is>
      </c>
      <c r="E8" s="3" t="inlineStr"/>
      <c r="F8" s="3" t="inlineStr"/>
      <c r="G8" s="3" t="inlineStr">
        <is>
          <t>ناقص</t>
        </is>
      </c>
      <c r="H8" s="3" t="inlineStr">
        <is>
          <t>لا أثر على إنستغرام ولا تسليم مسجَّل</t>
        </is>
      </c>
    </row>
    <row r="9">
      <c r="A9" s="3" t="inlineStr">
        <is>
          <t>15/6 → 15/7</t>
        </is>
      </c>
      <c r="B9" s="3" t="inlineStr">
        <is>
          <t>بوست</t>
        </is>
      </c>
      <c r="C9" s="3" t="n">
        <v>5</v>
      </c>
      <c r="D9" s="3" t="inlineStr">
        <is>
          <t>—</t>
        </is>
      </c>
      <c r="E9" s="3" t="inlineStr"/>
      <c r="F9" s="3" t="inlineStr"/>
      <c r="G9" s="3" t="inlineStr">
        <is>
          <t>ناقص</t>
        </is>
      </c>
      <c r="H9" s="3" t="inlineStr">
        <is>
          <t>لا أثر على إنستغرام ولا تسليم مسجَّل</t>
        </is>
      </c>
    </row>
    <row r="10">
      <c r="A10" s="3" t="inlineStr">
        <is>
          <t>15/6 → 15/7</t>
        </is>
      </c>
      <c r="B10" s="3" t="inlineStr">
        <is>
          <t>بوست</t>
        </is>
      </c>
      <c r="C10" s="3" t="n">
        <v>6</v>
      </c>
      <c r="D10" s="3" t="inlineStr">
        <is>
          <t>—</t>
        </is>
      </c>
      <c r="E10" s="3" t="inlineStr"/>
      <c r="F10" s="3" t="inlineStr"/>
      <c r="G10" s="3" t="inlineStr">
        <is>
          <t>ناقص</t>
        </is>
      </c>
      <c r="H10" s="3" t="inlineStr">
        <is>
          <t>لا أثر على إنستغرام ولا تسليم مسجَّل</t>
        </is>
      </c>
    </row>
    <row r="11">
      <c r="A11" s="3" t="inlineStr">
        <is>
          <t>15/6 → 15/7</t>
        </is>
      </c>
      <c r="B11" s="3" t="inlineStr">
        <is>
          <t>ريل</t>
        </is>
      </c>
      <c r="C11" s="3" t="n">
        <v>4</v>
      </c>
      <c r="D11" s="3" t="inlineStr">
        <is>
          <t>—</t>
        </is>
      </c>
      <c r="E11" s="3" t="inlineStr"/>
      <c r="F11" s="3" t="inlineStr"/>
      <c r="G11" s="3" t="inlineStr">
        <is>
          <t>ناقص</t>
        </is>
      </c>
      <c r="H11" s="3" t="inlineStr">
        <is>
          <t>لا أثر على إنستغرام ولا تسليم مسجَّل</t>
        </is>
      </c>
    </row>
    <row r="12">
      <c r="A12" s="3" t="inlineStr">
        <is>
          <t>15/6 → 15/7</t>
        </is>
      </c>
      <c r="B12" s="3" t="inlineStr">
        <is>
          <t>ريل</t>
        </is>
      </c>
      <c r="C12" s="3" t="n">
        <v>5</v>
      </c>
      <c r="D12" s="3" t="inlineStr">
        <is>
          <t>—</t>
        </is>
      </c>
      <c r="E12" s="3" t="inlineStr"/>
      <c r="F12" s="3" t="inlineStr"/>
      <c r="G12" s="3" t="inlineStr">
        <is>
          <t>ناقص</t>
        </is>
      </c>
      <c r="H12" s="3" t="inlineStr">
        <is>
          <t>لا أثر على إنستغرام ولا تسليم مسجَّل</t>
        </is>
      </c>
    </row>
    <row r="13">
      <c r="A13" s="3" t="inlineStr">
        <is>
          <t>15/6 → 15/7</t>
        </is>
      </c>
      <c r="B13" s="3" t="inlineStr">
        <is>
          <t>ريل</t>
        </is>
      </c>
      <c r="C13" s="3" t="n">
        <v>6</v>
      </c>
      <c r="D13" s="3" t="inlineStr">
        <is>
          <t>—</t>
        </is>
      </c>
      <c r="E13" s="3" t="inlineStr"/>
      <c r="F13" s="3" t="inlineStr"/>
      <c r="G13" s="3" t="inlineStr">
        <is>
          <t>ناقص</t>
        </is>
      </c>
      <c r="H13" s="3" t="inlineStr">
        <is>
          <t>لا أثر على إنستغرام ولا تسليم مسجَّل</t>
        </is>
      </c>
    </row>
    <row r="14">
      <c r="A14" s="2" t="inlineStr">
        <is>
          <t>15/7 → 15/8</t>
        </is>
      </c>
      <c r="B14" s="2" t="inlineStr">
        <is>
          <t>ريل</t>
        </is>
      </c>
      <c r="C14" s="2" t="n">
        <v>1</v>
      </c>
      <c r="D14" s="2" t="inlineStr">
        <is>
          <t>التفاصيل الصغيرة بتفرق… حتى (الساعة)</t>
        </is>
      </c>
      <c r="E14" s="2" t="inlineStr"/>
      <c r="F14" s="2" t="inlineStr">
        <is>
          <t>2026-07-18</t>
        </is>
      </c>
      <c r="G14" s="2" t="inlineStr">
        <is>
          <t>منشور</t>
        </is>
      </c>
      <c r="H14" s="2" t="inlineStr">
        <is>
          <t>instagram.com/dr.nourlab/reel/Da7h_w7t-oo/ · كابشن نوال 18/7</t>
        </is>
      </c>
    </row>
    <row r="15">
      <c r="A15" s="2" t="inlineStr">
        <is>
          <t>15/7 → 15/8</t>
        </is>
      </c>
      <c r="B15" s="2" t="inlineStr">
        <is>
          <t>بوست</t>
        </is>
      </c>
      <c r="C15" s="2" t="n">
        <v>1</v>
      </c>
      <c r="D15" s="2" t="inlineStr">
        <is>
          <t>(بوستر — بلا كابشن نصّي)</t>
        </is>
      </c>
      <c r="E15" s="2" t="inlineStr">
        <is>
          <t>2026-07-15</t>
        </is>
      </c>
      <c r="F15" s="2" t="inlineStr">
        <is>
          <t>2026-07-22</t>
        </is>
      </c>
      <c r="G15" s="2" t="inlineStr">
        <is>
          <t>منشور</t>
        </is>
      </c>
      <c r="H15" s="2" t="inlineStr">
        <is>
          <t>تصميم سابين post 1.jpg · instagram.com/dr.nourlab/p/DbGLoaYiGHA/</t>
        </is>
      </c>
    </row>
    <row r="16">
      <c r="A16" s="2" t="inlineStr">
        <is>
          <t>15/7 → 15/8</t>
        </is>
      </c>
      <c r="B16" s="2" t="inlineStr">
        <is>
          <t>بوست</t>
        </is>
      </c>
      <c r="C16" s="2" t="n">
        <v>2</v>
      </c>
      <c r="D16" s="2" t="inlineStr">
        <is>
          <t>(بوستر — بلا كابشن نصّي)</t>
        </is>
      </c>
      <c r="E16" s="2" t="inlineStr">
        <is>
          <t>2026-07-15</t>
        </is>
      </c>
      <c r="F16" s="2" t="inlineStr">
        <is>
          <t>2026-07-25</t>
        </is>
      </c>
      <c r="G16" s="2" t="inlineStr">
        <is>
          <t>منشور</t>
        </is>
      </c>
      <c r="H16" s="2" t="inlineStr">
        <is>
          <t>تصميم سابين post 2.jpg · instagram.com/dr.nourlab/p/DbNfkO0iHZR/</t>
        </is>
      </c>
    </row>
    <row r="17">
      <c r="A17" s="2" t="inlineStr">
        <is>
          <t>15/7 → 15/8</t>
        </is>
      </c>
      <c r="B17" s="2" t="inlineStr">
        <is>
          <t>ريل</t>
        </is>
      </c>
      <c r="C17" s="2" t="n">
        <v>2</v>
      </c>
      <c r="D17" s="2" t="inlineStr">
        <is>
          <t>العطش مو دايماً بسبب الحر</t>
        </is>
      </c>
      <c r="E17" s="2" t="inlineStr">
        <is>
          <t>2026-07-26</t>
        </is>
      </c>
      <c r="F17" s="2" t="inlineStr">
        <is>
          <t>2026-07-30</t>
        </is>
      </c>
      <c r="G17" s="2" t="inlineStr">
        <is>
          <t>منشور</t>
        </is>
      </c>
      <c r="H17" s="2" t="inlineStr">
        <is>
          <t>تصوير ماجد dr.nour july plan 1_1.mp4 · instagram.com/dr.nourlab/reel/DbamRntNz7H/</t>
        </is>
      </c>
    </row>
    <row r="18">
      <c r="A18" s="2" t="inlineStr">
        <is>
          <t>15/7 → 15/8</t>
        </is>
      </c>
      <c r="B18" s="2" t="inlineStr">
        <is>
          <t>بوست</t>
        </is>
      </c>
      <c r="C18" s="2" t="n">
        <v>3</v>
      </c>
      <c r="D18" s="2" t="inlineStr">
        <is>
          <t>(بوستر — بلا كابشن نصّي)</t>
        </is>
      </c>
      <c r="E18" s="2" t="inlineStr">
        <is>
          <t>2026-07-15</t>
        </is>
      </c>
      <c r="F18" s="2" t="inlineStr">
        <is>
          <t>2026-08-03</t>
        </is>
      </c>
      <c r="G18" s="2" t="inlineStr">
        <is>
          <t>منشور</t>
        </is>
      </c>
      <c r="H18" s="2" t="inlineStr">
        <is>
          <t>تصميم سابين post 3.jpg · instagram.com/dr.nourlab/p/Dbk2RahCAmM/</t>
        </is>
      </c>
    </row>
    <row r="19">
      <c r="A19" s="2" t="inlineStr">
        <is>
          <t>15/7 → 15/8</t>
        </is>
      </c>
      <c r="B19" s="2" t="inlineStr">
        <is>
          <t>ريل</t>
        </is>
      </c>
      <c r="C19" s="2" t="n">
        <v>3</v>
      </c>
      <c r="D19" s="2" t="inlineStr">
        <is>
          <t>الإشارة صغيرة… بس معناها كبير (مغنيزيوم)</t>
        </is>
      </c>
      <c r="E19" s="2" t="inlineStr">
        <is>
          <t>2026-07-26</t>
        </is>
      </c>
      <c r="F19" s="2" t="inlineStr">
        <is>
          <t>2026-08-06</t>
        </is>
      </c>
      <c r="G19" s="2" t="inlineStr">
        <is>
          <t>منشور</t>
        </is>
      </c>
      <c r="H19" s="2" t="inlineStr">
        <is>
          <t>تصوير ماجد dr.nour july plan 2_1.mp4 · instagram.com/dr.nourlab/reel/DbstcAMt6mQ/</t>
        </is>
      </c>
    </row>
    <row r="20">
      <c r="A20" s="2" t="inlineStr">
        <is>
          <t>15/7 → 15/8</t>
        </is>
      </c>
      <c r="B20" s="2" t="inlineStr">
        <is>
          <t>ريل</t>
        </is>
      </c>
      <c r="C20" s="2" t="n">
        <v>4</v>
      </c>
      <c r="D20" s="2" t="inlineStr">
        <is>
          <t>مو كل كدمة عادية (CBC)</t>
        </is>
      </c>
      <c r="E20" s="2" t="inlineStr">
        <is>
          <t>2026-07-28</t>
        </is>
      </c>
      <c r="F20" s="2" t="inlineStr">
        <is>
          <t>2026-08-11</t>
        </is>
      </c>
      <c r="G20" s="2" t="inlineStr">
        <is>
          <t>منشور</t>
        </is>
      </c>
      <c r="H20" s="2" t="inlineStr">
        <is>
          <t>مونتاج أليسار «مخبر تحليل cbc July 3rd reel.mp4» · instagram.com/dr.nourlab/reel/Db5lg_XNFS6/</t>
        </is>
      </c>
    </row>
    <row r="21">
      <c r="A21" s="4" t="inlineStr">
        <is>
          <t>15/7 → 15/8</t>
        </is>
      </c>
      <c r="B21" s="4" t="inlineStr">
        <is>
          <t>بوست</t>
        </is>
      </c>
      <c r="C21" s="4" t="n">
        <v>4</v>
      </c>
      <c r="D21" s="4" t="inlineStr">
        <is>
          <t>تصميم مسلَّم ولم يُنشر</t>
        </is>
      </c>
      <c r="E21" s="4" t="inlineStr">
        <is>
          <t>2026-07-20</t>
        </is>
      </c>
      <c r="F21" s="4" t="inlineStr"/>
      <c r="G21" s="4" t="inlineStr">
        <is>
          <t>جاهز غير منشور</t>
        </is>
      </c>
      <c r="H21" s="4" t="inlineStr">
        <is>
          <t>تصميم سابين post 4.jpg (15/7)</t>
        </is>
      </c>
    </row>
    <row r="22">
      <c r="A22" s="4" t="inlineStr">
        <is>
          <t>15/7 → 15/8</t>
        </is>
      </c>
      <c r="B22" s="4" t="inlineStr">
        <is>
          <t>بوست</t>
        </is>
      </c>
      <c r="C22" s="4" t="n">
        <v>5</v>
      </c>
      <c r="D22" s="4" t="inlineStr">
        <is>
          <t>تصميم مسلَّم ولم يُنشر</t>
        </is>
      </c>
      <c r="E22" s="4" t="inlineStr">
        <is>
          <t>2026-07-20</t>
        </is>
      </c>
      <c r="F22" s="4" t="inlineStr"/>
      <c r="G22" s="4" t="inlineStr">
        <is>
          <t>جاهز غير منشور</t>
        </is>
      </c>
      <c r="H22" s="4" t="inlineStr">
        <is>
          <t>تصميم سابين post 5.jpg (20/7، أُعيد إرساله 25/7)</t>
        </is>
      </c>
    </row>
    <row r="23">
      <c r="A23" s="4" t="inlineStr">
        <is>
          <t>15/7 → 15/8</t>
        </is>
      </c>
      <c r="B23" s="4" t="inlineStr">
        <is>
          <t>بوست</t>
        </is>
      </c>
      <c r="C23" s="4" t="n">
        <v>6</v>
      </c>
      <c r="D23" s="4" t="inlineStr">
        <is>
          <t>تصميم مسلَّم ولم يُنشر</t>
        </is>
      </c>
      <c r="E23" s="4" t="inlineStr">
        <is>
          <t>2026-07-20</t>
        </is>
      </c>
      <c r="F23" s="4" t="inlineStr"/>
      <c r="G23" s="4" t="inlineStr">
        <is>
          <t>جاهز غير منشور</t>
        </is>
      </c>
      <c r="H23" s="4" t="inlineStr">
        <is>
          <t>تصميم سابين post 6.jpg (20/7)</t>
        </is>
      </c>
    </row>
    <row r="24">
      <c r="A24" s="3" t="inlineStr">
        <is>
          <t>15/7 → 15/8</t>
        </is>
      </c>
      <c r="B24" s="3" t="inlineStr">
        <is>
          <t>ريل</t>
        </is>
      </c>
      <c r="C24" s="3" t="n">
        <v>5</v>
      </c>
      <c r="D24" s="3" t="inlineStr">
        <is>
          <t>—</t>
        </is>
      </c>
      <c r="E24" s="3" t="inlineStr"/>
      <c r="F24" s="3" t="inlineStr"/>
      <c r="G24" s="3" t="inlineStr">
        <is>
          <t>ناقص</t>
        </is>
      </c>
      <c r="H24" s="3" t="inlineStr">
        <is>
          <t>لا تسليم ولا نشر</t>
        </is>
      </c>
    </row>
    <row r="25">
      <c r="A25" s="3" t="inlineStr">
        <is>
          <t>15/7 → 15/8</t>
        </is>
      </c>
      <c r="B25" s="3" t="inlineStr">
        <is>
          <t>ريل</t>
        </is>
      </c>
      <c r="C25" s="3" t="n">
        <v>6</v>
      </c>
      <c r="D25" s="3" t="inlineStr">
        <is>
          <t>—</t>
        </is>
      </c>
      <c r="E25" s="3" t="inlineStr"/>
      <c r="F25" s="3" t="inlineStr"/>
      <c r="G25" s="3" t="inlineStr">
        <is>
          <t>ناقص</t>
        </is>
      </c>
      <c r="H25" s="3" t="inlineStr">
        <is>
          <t>لا تسليم ولا نشر</t>
        </is>
      </c>
    </row>
    <row r="26">
      <c r="A26" s="2" t="inlineStr">
        <is>
          <t>15/8 → 15/9</t>
        </is>
      </c>
      <c r="B26" s="2" t="inlineStr">
        <is>
          <t>بوست</t>
        </is>
      </c>
      <c r="C26" s="2" t="n">
        <v>1</v>
      </c>
      <c r="D26" s="2" t="inlineStr">
        <is>
          <t>ليش الدكتور بيطلب Ferritin مو بس تحليل حديد؟</t>
        </is>
      </c>
      <c r="E26" s="2" t="inlineStr"/>
      <c r="F26" s="2" t="inlineStr">
        <is>
          <t>2026-08-17</t>
        </is>
      </c>
      <c r="G26" s="2" t="inlineStr">
        <is>
          <t>منشور</t>
        </is>
      </c>
      <c r="H26" s="2" t="inlineStr">
        <is>
          <t>instagram.com/dr.nourlab/p/DcIuKQlFnDQ/</t>
        </is>
      </c>
    </row>
    <row r="27">
      <c r="A27" s="2" t="inlineStr">
        <is>
          <t>15/8 → 15/9</t>
        </is>
      </c>
      <c r="B27" s="2" t="inlineStr">
        <is>
          <t>ريل</t>
        </is>
      </c>
      <c r="C27" s="2" t="n">
        <v>1</v>
      </c>
      <c r="D27" s="2" t="inlineStr">
        <is>
          <t>لسا عم تاخد التشخيص من الـAi؟</t>
        </is>
      </c>
      <c r="E27" s="2" t="inlineStr">
        <is>
          <t>2026-08-18</t>
        </is>
      </c>
      <c r="F27" s="2" t="inlineStr">
        <is>
          <t>2026-08-20</t>
        </is>
      </c>
      <c r="G27" s="2" t="inlineStr">
        <is>
          <t>منشور</t>
        </is>
      </c>
      <c r="H27" s="2" t="inlineStr">
        <is>
          <t>مونتاج أليسار mkhbar 3-8.mp4 · instagram.com/dr.nourlab/reel/DcQrlgbt-g7/</t>
        </is>
      </c>
    </row>
    <row r="28">
      <c r="A28" s="2" t="inlineStr">
        <is>
          <t>15/8 → 15/9</t>
        </is>
      </c>
      <c r="B28" s="2" t="inlineStr">
        <is>
          <t>بوست</t>
        </is>
      </c>
      <c r="C28" s="2" t="n">
        <v>2</v>
      </c>
      <c r="D28" s="2" t="inlineStr">
        <is>
          <t>فنجان القهوة الصغير ممكن يغيّر قراءة التحاليل</t>
        </is>
      </c>
      <c r="E28" s="2" t="inlineStr"/>
      <c r="F28" s="2" t="inlineStr">
        <is>
          <t>2026-08-24</t>
        </is>
      </c>
      <c r="G28" s="2" t="inlineStr">
        <is>
          <t>منشور</t>
        </is>
      </c>
      <c r="H28" s="2" t="inlineStr">
        <is>
          <t>instagram.com/dr.nourlab/p/DcbKP3UiMUs/</t>
        </is>
      </c>
    </row>
    <row r="29">
      <c r="A29" s="2" t="inlineStr">
        <is>
          <t>15/8 → 15/9</t>
        </is>
      </c>
      <c r="B29" s="2" t="inlineStr">
        <is>
          <t>ريل</t>
        </is>
      </c>
      <c r="C29" s="2" t="n">
        <v>2</v>
      </c>
      <c r="D29" s="2" t="inlineStr">
        <is>
          <t>حاسس حالك بلا طاقة؟ (Vitamin D — من سكريبتات الإعادة)</t>
        </is>
      </c>
      <c r="E29" s="2" t="inlineStr">
        <is>
          <t>2026-08-21</t>
        </is>
      </c>
      <c r="F29" s="2" t="inlineStr">
        <is>
          <t>2026-08-26</t>
        </is>
      </c>
      <c r="G29" s="2" t="inlineStr">
        <is>
          <t>منشور</t>
        </is>
      </c>
      <c r="H29" s="2" t="inlineStr">
        <is>
          <t>مونتاج أليسار mkhbar 4-8.mov · instagram.com/dr.nourlab/reel/DcgT8ZKNHHY/</t>
        </is>
      </c>
    </row>
    <row r="30">
      <c r="A30" s="2" t="inlineStr">
        <is>
          <t>15/8 → 15/9</t>
        </is>
      </c>
      <c r="B30" s="2" t="inlineStr">
        <is>
          <t>بوست</t>
        </is>
      </c>
      <c r="C30" s="2" t="n">
        <v>3</v>
      </c>
      <c r="D30" s="2" t="inlineStr">
        <is>
          <t>Vitamin D مو مجرد رقم</t>
        </is>
      </c>
      <c r="E30" s="2" t="inlineStr"/>
      <c r="F30" s="2" t="inlineStr">
        <is>
          <t>2026-08-31</t>
        </is>
      </c>
      <c r="G30" s="2" t="inlineStr">
        <is>
          <t>منشور</t>
        </is>
      </c>
      <c r="H30" s="2" t="inlineStr">
        <is>
          <t>instagram.com/dr.nourlab/p/DctQH9FCNiF/</t>
        </is>
      </c>
    </row>
    <row r="31">
      <c r="A31" s="4" t="inlineStr">
        <is>
          <t>15/8 → 15/9</t>
        </is>
      </c>
      <c r="B31" s="4" t="inlineStr">
        <is>
          <t>ريل</t>
        </is>
      </c>
      <c r="C31" s="4" t="n">
        <v>3</v>
      </c>
      <c r="D31" s="4" t="inlineStr">
        <is>
          <t>B12 — من سكريبتات الإعادة الثلاثة</t>
        </is>
      </c>
      <c r="E31" s="4" t="inlineStr">
        <is>
          <t>2026-08-25</t>
        </is>
      </c>
      <c r="F31" s="4" t="inlineStr"/>
      <c r="G31" s="4" t="inlineStr">
        <is>
          <t>جاهز غير منشور</t>
        </is>
      </c>
      <c r="H31" s="4" t="inlineStr">
        <is>
          <t>مونتاج أليسار mkhbar 5-8.mp4</t>
        </is>
      </c>
    </row>
    <row r="32">
      <c r="A32" s="4" t="inlineStr">
        <is>
          <t>15/8 → 15/9</t>
        </is>
      </c>
      <c r="B32" s="4" t="inlineStr">
        <is>
          <t>ريل</t>
        </is>
      </c>
      <c r="C32" s="4" t="n">
        <v>4</v>
      </c>
      <c r="D32" s="4" t="inlineStr">
        <is>
          <t>بديل «القيم الطبيعية» (الدكتورة لم توافق على الإعادة)</t>
        </is>
      </c>
      <c r="E32" s="4" t="inlineStr">
        <is>
          <t>2026-09-03</t>
        </is>
      </c>
      <c r="F32" s="4" t="inlineStr"/>
      <c r="G32" s="4" t="inlineStr">
        <is>
          <t>جاهز غير منشور</t>
        </is>
      </c>
      <c r="H32" s="4" t="inlineStr">
        <is>
          <t>مونتاج أليسار mkhbar 6-8.mp4 — وصل اليوم 14:26</t>
        </is>
      </c>
    </row>
    <row r="33">
      <c r="A33" s="3" t="inlineStr">
        <is>
          <t>15/8 → 15/9</t>
        </is>
      </c>
      <c r="B33" s="3" t="inlineStr">
        <is>
          <t>بوست</t>
        </is>
      </c>
      <c r="C33" s="3" t="n">
        <v>4</v>
      </c>
      <c r="D33" s="3" t="inlineStr">
        <is>
          <t>—</t>
        </is>
      </c>
      <c r="E33" s="3" t="inlineStr"/>
      <c r="F33" s="3" t="inlineStr"/>
      <c r="G33" s="3" t="inlineStr">
        <is>
          <t>ناقص</t>
        </is>
      </c>
      <c r="H33" s="3" t="inlineStr">
        <is>
          <t>لا تصميم ولا نشر</t>
        </is>
      </c>
    </row>
    <row r="34">
      <c r="A34" s="3" t="inlineStr">
        <is>
          <t>15/8 → 15/9</t>
        </is>
      </c>
      <c r="B34" s="3" t="inlineStr">
        <is>
          <t>بوست</t>
        </is>
      </c>
      <c r="C34" s="3" t="n">
        <v>5</v>
      </c>
      <c r="D34" s="3" t="inlineStr">
        <is>
          <t>—</t>
        </is>
      </c>
      <c r="E34" s="3" t="inlineStr"/>
      <c r="F34" s="3" t="inlineStr"/>
      <c r="G34" s="3" t="inlineStr">
        <is>
          <t>ناقص</t>
        </is>
      </c>
      <c r="H34" s="3" t="inlineStr">
        <is>
          <t>لا تصميم ولا نشر</t>
        </is>
      </c>
    </row>
    <row r="35">
      <c r="A35" s="3" t="inlineStr">
        <is>
          <t>15/8 → 15/9</t>
        </is>
      </c>
      <c r="B35" s="3" t="inlineStr">
        <is>
          <t>بوست</t>
        </is>
      </c>
      <c r="C35" s="3" t="n">
        <v>6</v>
      </c>
      <c r="D35" s="3" t="inlineStr">
        <is>
          <t>—</t>
        </is>
      </c>
      <c r="E35" s="3" t="inlineStr"/>
      <c r="F35" s="3" t="inlineStr"/>
      <c r="G35" s="3" t="inlineStr">
        <is>
          <t>ناقص</t>
        </is>
      </c>
      <c r="H35" s="3" t="inlineStr">
        <is>
          <t>لا تصميم ولا نشر</t>
        </is>
      </c>
    </row>
    <row r="36">
      <c r="A36" s="3" t="inlineStr">
        <is>
          <t>15/8 → 15/9</t>
        </is>
      </c>
      <c r="B36" s="3" t="inlineStr">
        <is>
          <t>ريل</t>
        </is>
      </c>
      <c r="C36" s="3" t="n">
        <v>5</v>
      </c>
      <c r="D36" s="3" t="inlineStr">
        <is>
          <t>—</t>
        </is>
      </c>
      <c r="E36" s="3" t="inlineStr"/>
      <c r="F36" s="3" t="inlineStr"/>
      <c r="G36" s="3" t="inlineStr">
        <is>
          <t>ناقص</t>
        </is>
      </c>
      <c r="H36" s="3" t="inlineStr">
        <is>
          <t>لا تصوير ولا مونتاج</t>
        </is>
      </c>
    </row>
    <row r="37">
      <c r="A37" s="3" t="inlineStr">
        <is>
          <t>15/8 → 15/9</t>
        </is>
      </c>
      <c r="B37" s="3" t="inlineStr">
        <is>
          <t>ريل</t>
        </is>
      </c>
      <c r="C37" s="3" t="n">
        <v>6</v>
      </c>
      <c r="D37" s="3" t="inlineStr">
        <is>
          <t>—</t>
        </is>
      </c>
      <c r="E37" s="3" t="inlineStr"/>
      <c r="F37" s="3" t="inlineStr"/>
      <c r="G37" s="3" t="inlineStr">
        <is>
          <t>ناقص</t>
        </is>
      </c>
      <c r="H37" s="3" t="inlineStr">
        <is>
          <t>لا تصوير ولا مونتاج</t>
        </is>
      </c>
    </row>
  </sheetData>
  <autoFilter ref="A1:H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rightToLeft="1" workbookViewId="0">
      <selection activeCell="A1" sqref="A1"/>
    </sheetView>
  </sheetViews>
  <sheetFormatPr baseColWidth="8" defaultRowHeight="15"/>
  <cols>
    <col width="17" customWidth="1" min="1" max="1"/>
    <col width="9" customWidth="1" min="2" max="2"/>
    <col width="9" customWidth="1" min="3" max="3"/>
    <col width="11" customWidth="1" min="4" max="4"/>
    <col width="17" customWidth="1" min="5" max="5"/>
    <col width="9" customWidth="1" min="6" max="6"/>
  </cols>
  <sheetData>
    <row r="1">
      <c r="A1" s="1" t="inlineStr">
        <is>
          <t>الدورة</t>
        </is>
      </c>
      <c r="B1" s="1" t="inlineStr">
        <is>
          <t>النوع</t>
        </is>
      </c>
      <c r="C1" s="1" t="inlineStr">
        <is>
          <t>الخطة</t>
        </is>
      </c>
      <c r="D1" s="1" t="inlineStr">
        <is>
          <t>منشور</t>
        </is>
      </c>
      <c r="E1" s="1" t="inlineStr">
        <is>
          <t>جاهز غير منشور</t>
        </is>
      </c>
      <c r="F1" s="1" t="inlineStr">
        <is>
          <t>ناقص</t>
        </is>
      </c>
    </row>
    <row r="2">
      <c r="A2" s="5" t="inlineStr">
        <is>
          <t>15/6 → 15/7</t>
        </is>
      </c>
      <c r="B2" s="5" t="inlineStr">
        <is>
          <t>بوست</t>
        </is>
      </c>
      <c r="C2" s="5" t="n">
        <v>6</v>
      </c>
      <c r="D2" s="5">
        <f>COUNTIFS(الجرد!$A$2:$A$37,$A2,الجرد!$B$2:$B$37,$B2,الجرد!$G$2:$G$37,"منشور")</f>
        <v/>
      </c>
      <c r="E2" s="5">
        <f>COUNTIFS(الجرد!$A$2:$A$37,$A2,الجرد!$B$2:$B$37,$B2,الجرد!$G$2:$G$37,"جاهز غير منشور")</f>
        <v/>
      </c>
      <c r="F2" s="5">
        <f>COUNTIFS(الجرد!$A$2:$A$37,$A2,الجرد!$B$2:$B$37,$B2,الجرد!$G$2:$G$37,"ناقص")</f>
        <v/>
      </c>
    </row>
    <row r="3">
      <c r="A3" s="5" t="inlineStr">
        <is>
          <t>15/6 → 15/7</t>
        </is>
      </c>
      <c r="B3" s="5" t="inlineStr">
        <is>
          <t>ريل</t>
        </is>
      </c>
      <c r="C3" s="5" t="n">
        <v>6</v>
      </c>
      <c r="D3" s="5">
        <f>COUNTIFS(الجرد!$A$2:$A$37,$A3,الجرد!$B$2:$B$37,$B3,الجرد!$G$2:$G$37,"منشور")</f>
        <v/>
      </c>
      <c r="E3" s="5">
        <f>COUNTIFS(الجرد!$A$2:$A$37,$A3,الجرد!$B$2:$B$37,$B3,الجرد!$G$2:$G$37,"جاهز غير منشور")</f>
        <v/>
      </c>
      <c r="F3" s="5">
        <f>COUNTIFS(الجرد!$A$2:$A$37,$A3,الجرد!$B$2:$B$37,$B3,الجرد!$G$2:$G$37,"ناقص")</f>
        <v/>
      </c>
    </row>
    <row r="4">
      <c r="A4" s="5" t="inlineStr">
        <is>
          <t>15/7 → 15/8</t>
        </is>
      </c>
      <c r="B4" s="5" t="inlineStr">
        <is>
          <t>بوست</t>
        </is>
      </c>
      <c r="C4" s="5" t="n">
        <v>6</v>
      </c>
      <c r="D4" s="5">
        <f>COUNTIFS(الجرد!$A$2:$A$37,$A4,الجرد!$B$2:$B$37,$B4,الجرد!$G$2:$G$37,"منشور")</f>
        <v/>
      </c>
      <c r="E4" s="5">
        <f>COUNTIFS(الجرد!$A$2:$A$37,$A4,الجرد!$B$2:$B$37,$B4,الجرد!$G$2:$G$37,"جاهز غير منشور")</f>
        <v/>
      </c>
      <c r="F4" s="5">
        <f>COUNTIFS(الجرد!$A$2:$A$37,$A4,الجرد!$B$2:$B$37,$B4,الجرد!$G$2:$G$37,"ناقص")</f>
        <v/>
      </c>
    </row>
    <row r="5">
      <c r="A5" s="5" t="inlineStr">
        <is>
          <t>15/7 → 15/8</t>
        </is>
      </c>
      <c r="B5" s="5" t="inlineStr">
        <is>
          <t>ريل</t>
        </is>
      </c>
      <c r="C5" s="5" t="n">
        <v>6</v>
      </c>
      <c r="D5" s="5">
        <f>COUNTIFS(الجرد!$A$2:$A$37,$A5,الجرد!$B$2:$B$37,$B5,الجرد!$G$2:$G$37,"منشور")</f>
        <v/>
      </c>
      <c r="E5" s="5">
        <f>COUNTIFS(الجرد!$A$2:$A$37,$A5,الجرد!$B$2:$B$37,$B5,الجرد!$G$2:$G$37,"جاهز غير منشور")</f>
        <v/>
      </c>
      <c r="F5" s="5">
        <f>COUNTIFS(الجرد!$A$2:$A$37,$A5,الجرد!$B$2:$B$37,$B5,الجرد!$G$2:$G$37,"ناقص")</f>
        <v/>
      </c>
    </row>
    <row r="6">
      <c r="A6" s="5" t="inlineStr">
        <is>
          <t>15/8 → 15/9</t>
        </is>
      </c>
      <c r="B6" s="5" t="inlineStr">
        <is>
          <t>بوست</t>
        </is>
      </c>
      <c r="C6" s="5" t="n">
        <v>6</v>
      </c>
      <c r="D6" s="5">
        <f>COUNTIFS(الجرد!$A$2:$A$37,$A6,الجرد!$B$2:$B$37,$B6,الجرد!$G$2:$G$37,"منشور")</f>
        <v/>
      </c>
      <c r="E6" s="5">
        <f>COUNTIFS(الجرد!$A$2:$A$37,$A6,الجرد!$B$2:$B$37,$B6,الجرد!$G$2:$G$37,"جاهز غير منشور")</f>
        <v/>
      </c>
      <c r="F6" s="5">
        <f>COUNTIFS(الجرد!$A$2:$A$37,$A6,الجرد!$B$2:$B$37,$B6,الجرد!$G$2:$G$37,"ناقص")</f>
        <v/>
      </c>
    </row>
    <row r="7">
      <c r="A7" s="5" t="inlineStr">
        <is>
          <t>15/8 → 15/9</t>
        </is>
      </c>
      <c r="B7" s="5" t="inlineStr">
        <is>
          <t>ريل</t>
        </is>
      </c>
      <c r="C7" s="5" t="n">
        <v>6</v>
      </c>
      <c r="D7" s="5">
        <f>COUNTIFS(الجرد!$A$2:$A$37,$A7,الجرد!$B$2:$B$37,$B7,الجرد!$G$2:$G$37,"منشور")</f>
        <v/>
      </c>
      <c r="E7" s="5">
        <f>COUNTIFS(الجرد!$A$2:$A$37,$A7,الجرد!$B$2:$B$37,$B7,الجرد!$G$2:$G$37,"جاهز غير منشور")</f>
        <v/>
      </c>
      <c r="F7" s="5">
        <f>COUNTIFS(الجرد!$A$2:$A$37,$A7,الجرد!$B$2:$B$37,$B7,الجرد!$G$2:$G$37,"ناقص")</f>
        <v/>
      </c>
    </row>
    <row r="8">
      <c r="A8" s="5" t="n"/>
      <c r="B8" s="5" t="n"/>
      <c r="C8" s="5" t="n"/>
      <c r="D8" s="5" t="n"/>
      <c r="E8" s="5" t="n"/>
      <c r="F8" s="5" t="n"/>
    </row>
    <row r="9">
      <c r="A9" s="6" t="inlineStr">
        <is>
          <t>المجموع</t>
        </is>
      </c>
      <c r="B9" s="6" t="n"/>
      <c r="C9" s="6">
        <f>SUM(C2:C7)</f>
        <v/>
      </c>
      <c r="D9" s="6">
        <f>SUM(D2:D7)</f>
        <v/>
      </c>
      <c r="E9" s="6">
        <f>SUM(E2:E7)</f>
        <v/>
      </c>
      <c r="F9" s="6">
        <f>SUM(F2:F7)</f>
        <v/>
      </c>
    </row>
    <row r="11">
      <c r="A11" s="7" t="inlineStr">
        <is>
          <t>ملاحظات</t>
        </is>
      </c>
    </row>
    <row r="12">
      <c r="A12" s="8" t="inlineStr">
        <is>
          <t>• المصادر: إنستغرام @dr.nourlab (تصفّح ٣/٩/٢٠٢٦) · سجلّ تلغرام الحيّ وتصدير ٢/٩ · «3 Reels For Shooting.pdf».</t>
        </is>
      </c>
    </row>
    <row r="13">
      <c r="A13" s="8" t="inlineStr">
        <is>
          <t>• «تاريخ الإنتاج» = يوم تسليم الملف على تلغرام. فاضي يعني ما في تسليم مسجَّل — الدورة الأولى كلها قبل تشغيل البوت.</t>
        </is>
      </c>
    </row>
    <row r="14">
      <c r="A14" s="8" t="inlineStr">
        <is>
          <t>• الدورتان الأوليان مسجَّل فيهما بالتطبيق ٢٤ قطعة منشورة، والواقع ١٣ — الفرق معروض ولم يُعدَّل.</t>
        </is>
      </c>
    </row>
    <row r="15">
      <c r="A15" s="8" t="inlineStr">
        <is>
          <t>• الدورة الحالية: خمس قطع منشورة والتطبيق يعرف واحدة، وريلان جاهزان لم يُنشرا (B12 والبديل).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2026-09-03T11:46:33Z</dcterms:created>
  <dcterms:modified xmlns:dcterms="http://purl.org/dc/terms/" xmlns:xsi="http://www.w3.org/2001/XMLSchema-instance" xsi:type="dcterms:W3CDTF">2026-09-03T11:46:33Z</dcterms:modified>
</cp:coreProperties>
</file>