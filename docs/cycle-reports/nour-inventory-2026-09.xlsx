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  <sheet xmlns:r="http://schemas.openxmlformats.org/officeDocument/2006/relationships" name="الدورات" sheetId="3" state="visible" r:id="rId3"/>
  </sheets>
  <definedNames>
    <definedName name="_xlnm._FilterDatabase" localSheetId="0" hidden="1">'الجرد'!$A$1:$H$28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إذا عم تعطش طول الوقت… مو طبيعي (تصوير/الدكتورة)</t>
        </is>
      </c>
      <c r="E18" s="2" t="inlineStr"/>
      <c r="F18" s="2" t="inlineStr">
        <is>
          <t>2026-07-30</t>
        </is>
      </c>
      <c r="G18" s="2" t="inlineStr">
        <is>
          <t>منشور</t>
        </is>
      </c>
      <c r="H18" s="2" t="inlineStr">
        <is>
          <t>instagram.com/dr.nourlab/reel/DbamRntNz7H/ — ملف المونتاج غير معروف؛ سلّم قبل نافذة سجلّ تلغرام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3" t="inlineStr">
        <is>
          <t>خطة تموز</t>
        </is>
      </c>
      <c r="B20" s="3" t="inlineStr">
        <is>
          <t>ريل</t>
        </is>
      </c>
      <c r="C20" s="3" t="n">
        <v>9</v>
      </c>
      <c r="D20" s="3" t="inlineStr">
        <is>
          <t>إذا ما فيك تروح عالمخبر… مخبرنا بيجي لعندك (سحب خارجي / خدمة منزلية)</t>
        </is>
      </c>
      <c r="E20" s="3" t="inlineStr">
        <is>
          <t>2026-08-25</t>
        </is>
      </c>
      <c r="F20" s="3" t="inlineStr"/>
      <c r="G20" s="3" t="inlineStr">
        <is>
          <t>جاهز غير منشور</t>
        </is>
      </c>
      <c r="H20" s="3" t="inlineStr">
        <is>
          <t>مونتاج أليسار mkhbar 5-8.mp4 (٢٥/٨) — تحديد القائدة (٣/٩). قطعة خطة أصلية، جاهزة وما انشرت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(نقص 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july-2-1 «نقص مغنزيوم» — تحديد القائدة (٣/٩)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مونتاج أليسار july-1-3 «عن تحليل CBC» — تحديد القائدة (٣/٩) · instagram.com/dr.nourlab/reel/Db5lg_XNFS6/</t>
        </is>
      </c>
    </row>
    <row r="23">
      <c r="A23" s="4" t="inlineStr">
        <is>
          <t>خطة تموز</t>
        </is>
      </c>
      <c r="B23" s="4" t="inlineStr">
        <is>
          <t>ريل</t>
        </is>
      </c>
      <c r="C23" s="4" t="n">
        <v>12</v>
      </c>
      <c r="D23" s="4" t="inlineStr">
        <is>
          <t>بتنعس مباشرة بعد الأكل؟ (مقاومة الإنسولين / ارتفاع السكر)</t>
        </is>
      </c>
      <c r="E23" s="4" t="inlineStr">
        <is>
          <t>2026-07-26</t>
        </is>
      </c>
      <c r="F23" s="4" t="inlineStr"/>
      <c r="G23" s="4" t="inlineStr">
        <is>
          <t>مصوَّر بلا مونتاج</t>
        </is>
      </c>
      <c r="H23" s="4" t="inlineStr">
        <is>
          <t>تصوير ماجد july-1-1 «أعراض ومؤشرات لارتفاع السكر» = ريل ١٢ — تحديد القائدة (٣/٩). مصوَّر ومنه ولا مونتاج ولا نشر. ⚠️ القائدة كتبت ١١/٨ «٨ و٩ و١٢ هدول ماتصورو» — فإما اللقطات انرفضت أو الرسالة كانت عن الجاهز مو المصوَّر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 بالأطراف)</t>
        </is>
      </c>
      <c r="E24" s="3" t="inlineStr">
        <is>
          <t>2026-08-10</t>
        </is>
      </c>
      <c r="F24" s="3" t="inlineStr"/>
      <c r="G24" s="3" t="inlineStr">
        <is>
          <t>جاهز غير منشور</t>
        </is>
      </c>
      <c r="H24" s="3" t="inlineStr">
        <is>
          <t>مونتاج أليسار mkhbar 2-8.mp4 (١٠/٨) — بيبلّش «في أعراض عصبية سببها ممكن يبين بتحليل الدم» (تحديد القائدة ٣/٩). حلا ٢/٨: «هاد تبع b12 بس ماعندي الملف الأساسي»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أول نسخة mkhbar 1-8.mp4 (١٠/٨، تحديد القائدة ٣/٩) ← تعديلات lv_0 (١٥/٨ «طلبت نزبط بشرتا» و١٧/٨) ← النهائية mkhbar 4-8.mov (٢١/٨) · instagram.com/dr.nourlab/reel/DcgT8ZKNHHY/</t>
        </is>
      </c>
    </row>
    <row r="26">
      <c r="A26" s="3" t="inlineStr">
        <is>
          <t>سدّ نقص ٦ و٧</t>
        </is>
      </c>
      <c r="B26" s="3" t="inlineStr">
        <is>
          <t>ريل</t>
        </is>
      </c>
      <c r="C26" s="3" t="n">
        <v>3</v>
      </c>
      <c r="D26" s="3" t="inlineStr">
        <is>
          <t>بديل «القيم الطبيعية» — الدكتورة لم توافق على إعادة الأصلي</t>
        </is>
      </c>
      <c r="E26" s="3" t="inlineStr">
        <is>
          <t>2026-09-03</t>
        </is>
      </c>
      <c r="F26" s="3" t="inlineStr"/>
      <c r="G26" s="3" t="inlineStr">
        <is>
          <t>جاهز غير منشور</t>
        </is>
      </c>
      <c r="H26" s="3" t="inlineStr">
        <is>
          <t>مونتاج أليسار mkhbar 6-8.mp4 وصل ٣/٩ الساعة 14:26 · قرار القائدة (٣/٩): التصوير والمونتاج جاهزان فيُقفل كرتا ماجد وأليسار</t>
        </is>
      </c>
    </row>
    <row r="27">
      <c r="A27" s="2" t="inlineStr">
        <is>
          <t>خارج الخطة</t>
        </is>
      </c>
      <c r="B27" s="2" t="inlineStr">
        <is>
          <t>بوست</t>
        </is>
      </c>
      <c r="C27" s="2" t="n">
        <v>1</v>
      </c>
      <c r="D27" s="2" t="inlineStr">
        <is>
          <t>هل كل ارتفاع بالكوليسترول خطر؟ (HDL / LDL)</t>
        </is>
      </c>
      <c r="E27" s="2" t="inlineStr"/>
      <c r="F27" s="2" t="inlineStr">
        <is>
          <t>2026-06-16</t>
        </is>
      </c>
      <c r="G27" s="2" t="inlineStr">
        <is>
          <t>منشور</t>
        </is>
      </c>
      <c r="H27" s="2" t="inlineStr">
        <is>
          <t>instagram.com/dr.nourlab/p/DZpEH5gCIyH/ — منشور داخل دورة حزيران وما إله مقابل بملف الخطة، فبينعدّ بدل</t>
        </is>
      </c>
    </row>
    <row r="28">
      <c r="A28" s="5" t="inlineStr">
        <is>
          <t>خارج الخطة</t>
        </is>
      </c>
      <c r="B28" s="5" t="inlineStr">
        <is>
          <t>ريل</t>
        </is>
      </c>
      <c r="C28" s="5" t="n">
        <v>2</v>
      </c>
      <c r="D28" s="5" t="inlineStr">
        <is>
          <t>ريل اللوكيشن — بلا صوت ولا أشخاص، إشارات وموسيقى</t>
        </is>
      </c>
      <c r="E28" s="5" t="inlineStr"/>
      <c r="F28" s="5" t="inlineStr"/>
      <c r="G28" s="5" t="inlineStr">
        <is>
          <t>قيد التنفيذ</t>
        </is>
      </c>
      <c r="H28" s="5" t="inlineStr">
        <is>
          <t>طلب الدكتورة عبر عمر بالمجموعة ٣/٩ ٨:٥٤، وأليسار «اوكي». إضافة خارج الخطة وما إله كرت على اللوح</t>
        </is>
      </c>
    </row>
  </sheetData>
  <autoFilter ref="A1:H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18" customWidth="1" min="6" max="6"/>
    <col width="9" customWidth="1" min="7" max="7"/>
    <col width="9" customWidth="1" min="8" max="8"/>
    <col width="12" customWidth="1" min="9" max="9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مصوَّر بلا مونتاج</t>
        </is>
      </c>
      <c r="G1" s="1" t="inlineStr">
        <is>
          <t>ناقص</t>
        </is>
      </c>
      <c r="H1" s="1" t="inlineStr">
        <is>
          <t>ملغى</t>
        </is>
      </c>
      <c r="I1" s="1" t="inlineStr">
        <is>
          <t>قيد التنفيذ</t>
        </is>
      </c>
    </row>
    <row r="2">
      <c r="A2" s="6" t="inlineStr">
        <is>
          <t>خطة حزيران</t>
        </is>
      </c>
      <c r="B2" s="6" t="inlineStr">
        <is>
          <t>بوست</t>
        </is>
      </c>
      <c r="C2" s="6" t="n">
        <v>6</v>
      </c>
      <c r="D2" s="6">
        <f>COUNTIFS(الجرد!$A$2:$A$28,$A2,الجرد!$B$2:$B$28,$B2,الجرد!$G$2:$G$28,"منشور")</f>
        <v/>
      </c>
      <c r="E2" s="6">
        <f>COUNTIFS(الجرد!$A$2:$A$28,$A2,الجرد!$B$2:$B$28,$B2,الجرد!$G$2:$G$28,"جاهز غير منشور")</f>
        <v/>
      </c>
      <c r="F2" s="6">
        <f>COUNTIFS(الجرد!$A$2:$A$28,$A2,الجرد!$B$2:$B$28,$B2,الجرد!$G$2:$G$28,"مصوَّر بلا مونتاج")</f>
        <v/>
      </c>
      <c r="G2" s="6">
        <f>COUNTIFS(الجرد!$A$2:$A$28,$A2,الجرد!$B$2:$B$28,$B2,الجرد!$G$2:$G$28,"ناقص")</f>
        <v/>
      </c>
      <c r="H2" s="6">
        <f>COUNTIFS(الجرد!$A$2:$A$28,$A2,الجرد!$B$2:$B$28,$B2,الجرد!$G$2:$G$28,"ملغى")</f>
        <v/>
      </c>
      <c r="I2" s="6">
        <f>COUNTIFS(الجرد!$A$2:$A$28,$A2,الجرد!$B$2:$B$28,$B2,الجرد!$G$2:$G$28,"قيد التنفيذ")</f>
        <v/>
      </c>
    </row>
    <row r="3">
      <c r="A3" s="6" t="inlineStr">
        <is>
          <t>خطة حزيران</t>
        </is>
      </c>
      <c r="B3" s="6" t="inlineStr">
        <is>
          <t>ريل</t>
        </is>
      </c>
      <c r="C3" s="6" t="n">
        <v>4</v>
      </c>
      <c r="D3" s="6">
        <f>COUNTIFS(الجرد!$A$2:$A$28,$A3,الجرد!$B$2:$B$28,$B3,الجرد!$G$2:$G$28,"منشور")</f>
        <v/>
      </c>
      <c r="E3" s="6">
        <f>COUNTIFS(الجرد!$A$2:$A$28,$A3,الجرد!$B$2:$B$28,$B3,الجرد!$G$2:$G$28,"جاهز غير منشور")</f>
        <v/>
      </c>
      <c r="F3" s="6">
        <f>COUNTIFS(الجرد!$A$2:$A$28,$A3,الجرد!$B$2:$B$28,$B3,الجرد!$G$2:$G$28,"مصوَّر بلا مونتاج")</f>
        <v/>
      </c>
      <c r="G3" s="6">
        <f>COUNTIFS(الجرد!$A$2:$A$28,$A3,الجرد!$B$2:$B$28,$B3,الجرد!$G$2:$G$28,"ناقص")</f>
        <v/>
      </c>
      <c r="H3" s="6">
        <f>COUNTIFS(الجرد!$A$2:$A$28,$A3,الجرد!$B$2:$B$28,$B3,الجرد!$G$2:$G$28,"ملغى")</f>
        <v/>
      </c>
      <c r="I3" s="6">
        <f>COUNTIFS(الجرد!$A$2:$A$28,$A3,الجرد!$B$2:$B$28,$B3,الجرد!$G$2:$G$28,"قيد التنفيذ")</f>
        <v/>
      </c>
    </row>
    <row r="4">
      <c r="A4" s="6" t="inlineStr">
        <is>
          <t>خطة تموز</t>
        </is>
      </c>
      <c r="B4" s="6" t="inlineStr">
        <is>
          <t>بوست</t>
        </is>
      </c>
      <c r="C4" s="6" t="n">
        <v>6</v>
      </c>
      <c r="D4" s="6">
        <f>COUNTIFS(الجرد!$A$2:$A$28,$A4,الجرد!$B$2:$B$28,$B4,الجرد!$G$2:$G$28,"منشور")</f>
        <v/>
      </c>
      <c r="E4" s="6">
        <f>COUNTIFS(الجرد!$A$2:$A$28,$A4,الجرد!$B$2:$B$28,$B4,الجرد!$G$2:$G$28,"جاهز غير منشور")</f>
        <v/>
      </c>
      <c r="F4" s="6">
        <f>COUNTIFS(الجرد!$A$2:$A$28,$A4,الجرد!$B$2:$B$28,$B4,الجرد!$G$2:$G$28,"مصوَّر بلا مونتاج")</f>
        <v/>
      </c>
      <c r="G4" s="6">
        <f>COUNTIFS(الجرد!$A$2:$A$28,$A4,الجرد!$B$2:$B$28,$B4,الجرد!$G$2:$G$28,"ناقص")</f>
        <v/>
      </c>
      <c r="H4" s="6">
        <f>COUNTIFS(الجرد!$A$2:$A$28,$A4,الجرد!$B$2:$B$28,$B4,الجرد!$G$2:$G$28,"ملغى")</f>
        <v/>
      </c>
      <c r="I4" s="6">
        <f>COUNTIFS(الجرد!$A$2:$A$28,$A4,الجرد!$B$2:$B$28,$B4,الجرد!$G$2:$G$28,"قيد التنفيذ")</f>
        <v/>
      </c>
    </row>
    <row r="5">
      <c r="A5" s="6" t="inlineStr">
        <is>
          <t>خطة تموز</t>
        </is>
      </c>
      <c r="B5" s="6" t="inlineStr">
        <is>
          <t>ريل</t>
        </is>
      </c>
      <c r="C5" s="6" t="n">
        <v>6</v>
      </c>
      <c r="D5" s="6">
        <f>COUNTIFS(الجرد!$A$2:$A$28,$A5,الجرد!$B$2:$B$28,$B5,الجرد!$G$2:$G$28,"منشور")</f>
        <v/>
      </c>
      <c r="E5" s="6">
        <f>COUNTIFS(الجرد!$A$2:$A$28,$A5,الجرد!$B$2:$B$28,$B5,الجرد!$G$2:$G$28,"جاهز غير منشور")</f>
        <v/>
      </c>
      <c r="F5" s="6">
        <f>COUNTIFS(الجرد!$A$2:$A$28,$A5,الجرد!$B$2:$B$28,$B5,الجرد!$G$2:$G$28,"مصوَّر بلا مونتاج")</f>
        <v/>
      </c>
      <c r="G5" s="6">
        <f>COUNTIFS(الجرد!$A$2:$A$28,$A5,الجرد!$B$2:$B$28,$B5,الجرد!$G$2:$G$28,"ناقص")</f>
        <v/>
      </c>
      <c r="H5" s="6">
        <f>COUNTIFS(الجرد!$A$2:$A$28,$A5,الجرد!$B$2:$B$28,$B5,الجرد!$G$2:$G$28,"ملغى")</f>
        <v/>
      </c>
      <c r="I5" s="6">
        <f>COUNTIFS(الجرد!$A$2:$A$28,$A5,الجرد!$B$2:$B$28,$B5,الجرد!$G$2:$G$28,"قيد التنفيذ")</f>
        <v/>
      </c>
    </row>
    <row r="6">
      <c r="A6" s="6" t="inlineStr">
        <is>
          <t>سدّ نقص ٦ و٧</t>
        </is>
      </c>
      <c r="B6" s="6" t="inlineStr">
        <is>
          <t>ريل</t>
        </is>
      </c>
      <c r="C6" s="6" t="n">
        <v>3</v>
      </c>
      <c r="D6" s="6">
        <f>COUNTIFS(الجرد!$A$2:$A$28,$A6,الجرد!$B$2:$B$28,$B6,الجرد!$G$2:$G$28,"منشور")</f>
        <v/>
      </c>
      <c r="E6" s="6">
        <f>COUNTIFS(الجرد!$A$2:$A$28,$A6,الجرد!$B$2:$B$28,$B6,الجرد!$G$2:$G$28,"جاهز غير منشور")</f>
        <v/>
      </c>
      <c r="F6" s="6">
        <f>COUNTIFS(الجرد!$A$2:$A$28,$A6,الجرد!$B$2:$B$28,$B6,الجرد!$G$2:$G$28,"مصوَّر بلا مونتاج")</f>
        <v/>
      </c>
      <c r="G6" s="6">
        <f>COUNTIFS(الجرد!$A$2:$A$28,$A6,الجرد!$B$2:$B$28,$B6,الجرد!$G$2:$G$28,"ناقص")</f>
        <v/>
      </c>
      <c r="H6" s="6">
        <f>COUNTIFS(الجرد!$A$2:$A$28,$A6,الجرد!$B$2:$B$28,$B6,الجرد!$G$2:$G$28,"ملغى")</f>
        <v/>
      </c>
      <c r="I6" s="6">
        <f>COUNTIFS(الجرد!$A$2:$A$28,$A6,الجرد!$B$2:$B$28,$B6,الجرد!$G$2:$G$28,"قيد التنفيذ")</f>
        <v/>
      </c>
    </row>
    <row r="7">
      <c r="A7" s="6" t="inlineStr">
        <is>
          <t>خارج الخطة</t>
        </is>
      </c>
      <c r="B7" s="6" t="inlineStr">
        <is>
          <t>بوست</t>
        </is>
      </c>
      <c r="C7" s="6" t="n">
        <v>0</v>
      </c>
      <c r="D7" s="6">
        <f>COUNTIFS(الجرد!$A$2:$A$28,$A7,الجرد!$B$2:$B$28,$B7,الجرد!$G$2:$G$28,"منشور")</f>
        <v/>
      </c>
      <c r="E7" s="6">
        <f>COUNTIFS(الجرد!$A$2:$A$28,$A7,الجرد!$B$2:$B$28,$B7,الجرد!$G$2:$G$28,"جاهز غير منشور")</f>
        <v/>
      </c>
      <c r="F7" s="6">
        <f>COUNTIFS(الجرد!$A$2:$A$28,$A7,الجرد!$B$2:$B$28,$B7,الجرد!$G$2:$G$28,"مصوَّر بلا مونتاج")</f>
        <v/>
      </c>
      <c r="G7" s="6">
        <f>COUNTIFS(الجرد!$A$2:$A$28,$A7,الجرد!$B$2:$B$28,$B7,الجرد!$G$2:$G$28,"ناقص")</f>
        <v/>
      </c>
      <c r="H7" s="6">
        <f>COUNTIFS(الجرد!$A$2:$A$28,$A7,الجرد!$B$2:$B$28,$B7,الجرد!$G$2:$G$28,"ملغى")</f>
        <v/>
      </c>
      <c r="I7" s="6">
        <f>COUNTIFS(الجرد!$A$2:$A$28,$A7,الجرد!$B$2:$B$28,$B7,الجرد!$G$2:$G$28,"قيد التنفيذ")</f>
        <v/>
      </c>
    </row>
    <row r="8">
      <c r="A8" s="6" t="inlineStr">
        <is>
          <t>خارج الخطة</t>
        </is>
      </c>
      <c r="B8" s="6" t="inlineStr">
        <is>
          <t>ريل</t>
        </is>
      </c>
      <c r="C8" s="6" t="n">
        <v>0</v>
      </c>
      <c r="D8" s="6">
        <f>COUNTIFS(الجرد!$A$2:$A$28,$A8,الجرد!$B$2:$B$28,$B8,الجرد!$G$2:$G$28,"منشور")</f>
        <v/>
      </c>
      <c r="E8" s="6">
        <f>COUNTIFS(الجرد!$A$2:$A$28,$A8,الجرد!$B$2:$B$28,$B8,الجرد!$G$2:$G$28,"جاهز غير منشور")</f>
        <v/>
      </c>
      <c r="F8" s="6">
        <f>COUNTIFS(الجرد!$A$2:$A$28,$A8,الجرد!$B$2:$B$28,$B8,الجرد!$G$2:$G$28,"مصوَّر بلا مونتاج")</f>
        <v/>
      </c>
      <c r="G8" s="6">
        <f>COUNTIFS(الجرد!$A$2:$A$28,$A8,الجرد!$B$2:$B$28,$B8,الجرد!$G$2:$G$28,"ناقص")</f>
        <v/>
      </c>
      <c r="H8" s="6">
        <f>COUNTIFS(الجرد!$A$2:$A$28,$A8,الجرد!$B$2:$B$28,$B8,الجرد!$G$2:$G$28,"ملغى")</f>
        <v/>
      </c>
      <c r="I8" s="6">
        <f>COUNTIFS(الجرد!$A$2:$A$28,$A8,الجرد!$B$2:$B$28,$B8,الجرد!$G$2:$G$28,"قيد التنفيذ")</f>
        <v/>
      </c>
    </row>
    <row r="9">
      <c r="A9" s="7" t="inlineStr">
        <is>
          <t>المجموع</t>
        </is>
      </c>
      <c r="B9" s="7" t="n"/>
      <c r="C9" s="7">
        <f>SUM(C2:C8)</f>
        <v/>
      </c>
      <c r="D9" s="7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</row>
    <row r="11">
      <c r="A11" s="8" t="inlineStr">
        <is>
          <t>ملاحظات</t>
        </is>
      </c>
    </row>
    <row r="12">
      <c r="A12" s="9" t="inlineStr">
        <is>
          <t>• المطابقة **بالمحتوى**: كل سطر عنوانه مأخوذ من ملف الخطة نفسه، لا من العدّ.</t>
        </is>
      </c>
    </row>
    <row r="13">
      <c r="A13" s="9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4">
      <c r="A14" s="9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5">
      <c r="A15" s="9" t="inlineStr">
        <is>
          <t>• «تاريخ الإنتاج» = يوم تسليم الملف على تلغرام. فاضي = لا تسليم مسجَّل.</t>
        </is>
      </c>
    </row>
    <row r="16">
      <c r="A16" s="9" t="inlineStr">
        <is>
          <t>• لا توجد خطة آب: كل ما نُشر بعد ١٥/٨ تأخير من خطتَي حزيران وتموز (قرار القائدة ٣/٩).</t>
        </is>
      </c>
    </row>
    <row r="17">
      <c r="A17" s="9" t="inlineStr">
        <is>
          <t>• الثلاثة سكريبتات كُتبت في حزيران لسدّ نقص ريلات ٦ و٧: Vitamin D نُشر ٢٦/٨ · B12 جاهز من ٢٥/٨ · بديل «القيم الطبيعية» جاهز من ٣/٩. فالجاهز غير المنشور من الريلات اتنين.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2" customWidth="1" min="4" max="4"/>
  </cols>
  <sheetData>
    <row r="1">
      <c r="A1" s="1" t="inlineStr">
        <is>
          <t>البند</t>
        </is>
      </c>
      <c r="B1" s="1" t="inlineStr">
        <is>
          <t>ريل</t>
        </is>
      </c>
      <c r="C1" s="1" t="inlineStr">
        <is>
          <t>بوست</t>
        </is>
      </c>
      <c r="D1" s="1" t="inlineStr">
        <is>
          <t>الشرح</t>
        </is>
      </c>
    </row>
    <row r="2">
      <c r="A2" s="10" t="inlineStr">
        <is>
          <t>المستحقّ — ٣ دورات × ٦</t>
        </is>
      </c>
      <c r="B2" s="7" t="n">
        <v>18</v>
      </c>
      <c r="C2" s="7" t="n">
        <v>18</v>
      </c>
      <c r="D2" s="10" t="inlineStr">
        <is>
          <t>الدورات: ١٥/٦→١٥/٧ · ١٥/٧→١٥/٨ · ١٥/٨→١٥/٩. الخطة ٦ ريل + ٦ بوست لكل دورة.</t>
        </is>
      </c>
    </row>
    <row r="3">
      <c r="A3" s="11" t="inlineStr">
        <is>
          <t>المنشور فعلاً</t>
        </is>
      </c>
      <c r="B3" s="6" t="n">
        <v>9</v>
      </c>
      <c r="C3" s="6" t="n">
        <v>10</v>
      </c>
      <c r="D3" s="11" t="inlineStr">
        <is>
          <t>ريلات: ٢٢/٦ · ٢/٧ · ٩/٧ · ١٨/٧ · ٣٠/٧ · ٦/٨ · ١١/٨ · ٢٠/٨ · ٢٦/٨ — بوستات: ١٦/٦ · ٢٨/٦ · ٧/٧ · ١٣/٧ · ٢٢/٧ · ٢٥/٧ · ٣/٨ · ١٧/٨ · ٢٤/٨ · ٣١/٨. آخر منشور على الحساب ٣١/٨.</t>
        </is>
      </c>
    </row>
    <row r="4">
      <c r="A4" s="11" t="inlineStr">
        <is>
          <t>جاهز غير منشور</t>
        </is>
      </c>
      <c r="B4" s="6" t="n">
        <v>3</v>
      </c>
      <c r="C4" s="6" t="n">
        <v>3</v>
      </c>
      <c r="D4" s="11" t="inlineStr">
        <is>
          <t>ريلات: mkhbar 2-8 (إعادة B12، ١٠/٨) · mkhbar 5-8 (ريل ٩ — الخدمة المنزلية، ٢٥/٨) · mkhbar 6-8 (بديل «القيم الطبيعية»، ٣/٩). بوستات: TSH · CBC/CRP · PSA (تصاميم سابين ١٥/٧ و٢٠/٧).</t>
        </is>
      </c>
    </row>
    <row r="5">
      <c r="A5" s="11" t="inlineStr">
        <is>
          <t>مصوَّر بلا مونتاج</t>
        </is>
      </c>
      <c r="B5" s="6" t="n">
        <v>1</v>
      </c>
      <c r="C5" s="6" t="n">
        <v>0</v>
      </c>
      <c r="D5" s="11" t="inlineStr">
        <is>
          <t>ريل ١٢ — تصوير ماجد july-1-1 «أعراض ومؤشرات لارتفاع السكر» (٢٦/٧). اللقطات موجودة وما انمنتجت: أقرب شغل جاهز للإقفال.</t>
        </is>
      </c>
    </row>
    <row r="6">
      <c r="A6" s="10" t="inlineStr">
        <is>
          <t>أقصى ما ينثبت إنتاجه</t>
        </is>
      </c>
      <c r="B6" s="7" t="n">
        <v>13</v>
      </c>
      <c r="C6" s="7" t="n">
        <v>13</v>
      </c>
      <c r="D6" s="10" t="inlineStr">
        <is>
          <t>المنشور + الجاهز + المصوَّر.</t>
        </is>
      </c>
    </row>
    <row r="7">
      <c r="A7" s="11" t="inlineStr">
        <is>
          <t>بلا أي أثر — لا تسليم ولا نشر</t>
        </is>
      </c>
      <c r="B7" s="6" t="n">
        <v>5</v>
      </c>
      <c r="C7" s="6" t="n">
        <v>5</v>
      </c>
      <c r="D7" s="11" t="inlineStr">
        <is>
          <t>كلها فرق **دورة حزيران** — وما إلها ملف خطة للريلات (ملف حزيران للبوستات فقط)، فما في عناوين تنتسمّى ولا مصدر يقول شو كان مفروض ينتصوّر. أما خطة تموز فصار كل ريلاتها الستة إلها أثر.</t>
        </is>
      </c>
    </row>
    <row r="9">
      <c r="A9" s="8" t="inlineStr">
        <is>
          <t>قيود على القراءة</t>
        </is>
      </c>
    </row>
    <row r="10">
      <c r="A10" s="9" t="inlineStr">
        <is>
          <t>• قبل ٢/٨ ما في سجلّ تسليمات إطلاقاً: البوت ما كان يراقب والتصدير ما رجع لهناك — فحدّ «١٨ مرسَل» ما بينفحص لحزيران وتموز إلا بالمنشور.</t>
        </is>
      </c>
    </row>
    <row r="11">
      <c r="A11" s="9" t="inlineStr">
        <is>
          <t>• الدورة التالتة (من ١٥/٨) ما إلها ملف خطة: القائدة طلبت وحدة من نوال ٢٦/٨ «٦ بوست و٦ ريل».</t>
        </is>
      </c>
    </row>
    <row r="12">
      <c r="A12" s="9" t="inlineStr">
        <is>
          <t>• قاعدة القائدة (٣/٩): الزيادة تنعتبر بدل — الدكتورة بتغيّر السكريبت أثناء التصوير وما منغيّر بالخطة. فأي ريل بديل (اللوكيشن، أو funny) بينوب بالعدد عن قطعة مسدودة.</t>
        </is>
      </c>
    </row>
    <row r="13">
      <c r="A13" s="9" t="inlineStr">
        <is>
          <t>• كل مونتاج صار إله دلالة (تحديد القائدة ٣/٩): mkhbar 1-8 و4-8 = فيتامين د (أول نسخة ثم النهائية) · 2-8 = إعادة B12 · 3-8 = ريل ٨ · 5-8 = ريل ٩ · 6-8 = بديل «القيم الطبيعية». ومن تصوير ماجد: july-1-1 = ريل ١٢ · july-2-1 = ريل ١٠ · وأليسار july-1-3 = ريل ١١.</t>
        </is>
      </c>
    </row>
    <row r="14">
      <c r="A14" s="9" t="inlineStr">
        <is>
          <t>• ملفات تموز (july-*) مو موجودة بسجلّ تلغرام تبع النظام — نافذته تبلّش ٢/٨. دلالتها من القائدة مباشرة، وهاد مكتوب بسطر الدليل لكل صف.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2026-09-03T15:56:20Z</dcterms:created>
  <dcterms:modified xmlns:dcterms="http://purl.org/dc/terms/" xmlns:xsi="http://www.w3.org/2001/XMLSchema-instance" xsi:type="dcterms:W3CDTF">2026-09-03T15:56:20Z</dcterms:modified>
</cp:coreProperties>
</file>