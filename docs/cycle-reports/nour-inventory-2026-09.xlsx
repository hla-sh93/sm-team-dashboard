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جرد" sheetId="1" state="visible" r:id="rId1"/>
    <sheet xmlns:r="http://schemas.openxmlformats.org/officeDocument/2006/relationships" name="الملخّص" sheetId="2" state="visible" r:id="rId2"/>
  </sheets>
  <definedNames>
    <definedName name="_xlnm._FilterDatabase" localSheetId="0" hidden="1">'الجرد'!$A$1:$H$26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5" customWidth="1" min="3" max="3"/>
    <col width="48" customWidth="1" min="4" max="4"/>
    <col width="14" customWidth="1" min="5" max="5"/>
    <col width="14" customWidth="1" min="6" max="6"/>
    <col width="17" customWidth="1" min="7" max="7"/>
    <col width="66" customWidth="1" min="8" max="8"/>
  </cols>
  <sheetData>
    <row r="1">
      <c r="A1" s="1" t="inlineStr">
        <is>
          <t>الخطة</t>
        </is>
      </c>
      <c r="B1" s="1" t="inlineStr">
        <is>
          <t>النوع</t>
        </is>
      </c>
      <c r="C1" s="1" t="inlineStr">
        <is>
          <t>#</t>
        </is>
      </c>
      <c r="D1" s="1" t="inlineStr">
        <is>
          <t>عنوان القطعة كما في ملف الخطة</t>
        </is>
      </c>
      <c r="E1" s="1" t="inlineStr">
        <is>
          <t>تاريخ الإنتاج</t>
        </is>
      </c>
      <c r="F1" s="1" t="inlineStr">
        <is>
          <t>تاريخ النشر</t>
        </is>
      </c>
      <c r="G1" s="1" t="inlineStr">
        <is>
          <t>الحالة</t>
        </is>
      </c>
      <c r="H1" s="1" t="inlineStr">
        <is>
          <t>الدليل</t>
        </is>
      </c>
    </row>
    <row r="2">
      <c r="A2" s="2" t="inlineStr">
        <is>
          <t>خطة حزيران</t>
        </is>
      </c>
      <c r="B2" s="2" t="inlineStr">
        <is>
          <t>بوست</t>
        </is>
      </c>
      <c r="C2" s="2" t="n">
        <v>1</v>
      </c>
      <c r="D2" s="2" t="inlineStr">
        <is>
          <t>دخلت وسحبت دم… وخلص؟ (رحلة العينة)</t>
        </is>
      </c>
      <c r="E2" s="2" t="inlineStr">
        <is>
          <t>2026-06-07</t>
        </is>
      </c>
      <c r="F2" s="2" t="inlineStr">
        <is>
          <t>2026-06-28</t>
        </is>
      </c>
      <c r="G2" s="2" t="inlineStr">
        <is>
          <t>منشور</t>
        </is>
      </c>
      <c r="H2" s="2" t="inlineStr">
        <is>
          <t>تصميم سابين post 1.jpg · instagram.com/dr.nourlab/p/DaH1aTeCKBS/</t>
        </is>
      </c>
    </row>
    <row r="3">
      <c r="A3" s="2" t="inlineStr">
        <is>
          <t>خطة حزيران</t>
        </is>
      </c>
      <c r="B3" s="2" t="inlineStr">
        <is>
          <t>بوست</t>
        </is>
      </c>
      <c r="C3" s="2" t="n">
        <v>2</v>
      </c>
      <c r="D3" s="2" t="inlineStr">
        <is>
          <t>فيكن تطلعولي النتيجة أسرع؟ (يوميات المخبر)</t>
        </is>
      </c>
      <c r="E3" s="2" t="inlineStr">
        <is>
          <t>2026-06-07</t>
        </is>
      </c>
      <c r="F3" s="2" t="inlineStr">
        <is>
          <t>2026-07-07</t>
        </is>
      </c>
      <c r="G3" s="2" t="inlineStr">
        <is>
          <t>منشور</t>
        </is>
      </c>
      <c r="H3" s="2" t="inlineStr">
        <is>
          <t>تصميم سابين post 2.jpg · instagram.com/dr.nourlab/p/DafleaOCJX4/</t>
        </is>
      </c>
    </row>
    <row r="4">
      <c r="A4" s="2" t="inlineStr">
        <is>
          <t>خطة حزيران</t>
        </is>
      </c>
      <c r="B4" s="2" t="inlineStr">
        <is>
          <t>بوست</t>
        </is>
      </c>
      <c r="C4" s="2" t="n">
        <v>3</v>
      </c>
      <c r="D4" s="2" t="inlineStr">
        <is>
          <t>الخوف مو من الإبرة… الخوف من الرقم</t>
        </is>
      </c>
      <c r="E4" s="2" t="inlineStr">
        <is>
          <t>2026-06-07</t>
        </is>
      </c>
      <c r="F4" s="2" t="inlineStr">
        <is>
          <t>2026-07-13</t>
        </is>
      </c>
      <c r="G4" s="2" t="inlineStr">
        <is>
          <t>منشور</t>
        </is>
      </c>
      <c r="H4" s="2" t="inlineStr">
        <is>
          <t>تصميم سابين post 3.jpg · instagram.com/dr.nourlab/p/DaulD4AiJnX/</t>
        </is>
      </c>
    </row>
    <row r="5">
      <c r="A5" s="2" t="inlineStr">
        <is>
          <t>خطة حزيران</t>
        </is>
      </c>
      <c r="B5" s="2" t="inlineStr">
        <is>
          <t>بوست</t>
        </is>
      </c>
      <c r="C5" s="2" t="n">
        <v>4</v>
      </c>
      <c r="D5" s="2" t="inlineStr">
        <is>
          <t>لو نتائجك بتقدر تحكي هيك رح تقول</t>
        </is>
      </c>
      <c r="E5" s="2" t="inlineStr">
        <is>
          <t>2026-06-09</t>
        </is>
      </c>
      <c r="F5" s="2" t="inlineStr">
        <is>
          <t>2026-07-22</t>
        </is>
      </c>
      <c r="G5" s="2" t="inlineStr">
        <is>
          <t>منشور</t>
        </is>
      </c>
      <c r="H5" s="2" t="inlineStr">
        <is>
          <t>تصميم سابين post 4.jpg · instagram.com/dr.nourlab/p/DbGLoaYiGHA/</t>
        </is>
      </c>
    </row>
    <row r="6">
      <c r="A6" s="2" t="inlineStr">
        <is>
          <t>خطة حزيران</t>
        </is>
      </c>
      <c r="B6" s="2" t="inlineStr">
        <is>
          <t>بوست</t>
        </is>
      </c>
      <c r="C6" s="2" t="n">
        <v>5</v>
      </c>
      <c r="D6" s="2" t="inlineStr">
        <is>
          <t>وراء كل نتيجة… قرار</t>
        </is>
      </c>
      <c r="E6" s="2" t="inlineStr">
        <is>
          <t>2026-06-09</t>
        </is>
      </c>
      <c r="F6" s="2" t="inlineStr">
        <is>
          <t>2026-07-25</t>
        </is>
      </c>
      <c r="G6" s="2" t="inlineStr">
        <is>
          <t>منشور</t>
        </is>
      </c>
      <c r="H6" s="2" t="inlineStr">
        <is>
          <t>تصميم سابين post 5.jpg · instagram.com/dr.nourlab/p/DbNfkO0iHZR/</t>
        </is>
      </c>
    </row>
    <row r="7">
      <c r="A7" s="2" t="inlineStr">
        <is>
          <t>خطة حزيران</t>
        </is>
      </c>
      <c r="B7" s="2" t="inlineStr">
        <is>
          <t>بوست</t>
        </is>
      </c>
      <c r="C7" s="2" t="n">
        <v>6</v>
      </c>
      <c r="D7" s="2" t="inlineStr">
        <is>
          <t>مو كل تحليل بينعمل مرة وحدة</t>
        </is>
      </c>
      <c r="E7" s="2" t="inlineStr">
        <is>
          <t>2026-06-09</t>
        </is>
      </c>
      <c r="F7" s="2" t="inlineStr">
        <is>
          <t>2026-08-03</t>
        </is>
      </c>
      <c r="G7" s="2" t="inlineStr">
        <is>
          <t>منشور</t>
        </is>
      </c>
      <c r="H7" s="2" t="inlineStr">
        <is>
          <t>تصميم سابين post 6.jpg · instagram.com/dr.nourlab/p/Dbk2RahCAmM/</t>
        </is>
      </c>
    </row>
    <row r="8">
      <c r="A8" s="2" t="inlineStr">
        <is>
          <t>خطة حزيران</t>
        </is>
      </c>
      <c r="B8" s="2" t="inlineStr">
        <is>
          <t>ريل</t>
        </is>
      </c>
      <c r="C8" s="2" t="n">
        <v>1</v>
      </c>
      <c r="D8" s="2" t="inlineStr">
        <is>
          <t>الدقة بالتشخيص بتبدأ من اختيار التحليل الصح</t>
        </is>
      </c>
      <c r="E8" s="2" t="inlineStr"/>
      <c r="F8" s="2" t="inlineStr">
        <is>
          <t>2026-06-22</t>
        </is>
      </c>
      <c r="G8" s="2" t="inlineStr">
        <is>
          <t>منشور</t>
        </is>
      </c>
      <c r="H8" s="2" t="inlineStr">
        <is>
          <t>instagram.com/dr.nourlab/reel/DZ4eE9KtPZT/ — ملف الخطة للبوستات فقط، فلا عنوان مرجعي للريلات</t>
        </is>
      </c>
    </row>
    <row r="9">
      <c r="A9" s="2" t="inlineStr">
        <is>
          <t>خطة حزيران</t>
        </is>
      </c>
      <c r="B9" s="2" t="inlineStr">
        <is>
          <t>ريل</t>
        </is>
      </c>
      <c r="C9" s="2" t="n">
        <v>2</v>
      </c>
      <c r="D9" s="2" t="inlineStr">
        <is>
          <t>مو الغرض التشكيك بصحتك</t>
        </is>
      </c>
      <c r="E9" s="2" t="inlineStr"/>
      <c r="F9" s="2" t="inlineStr">
        <is>
          <t>2026-07-02</t>
        </is>
      </c>
      <c r="G9" s="2" t="inlineStr">
        <is>
          <t>منشور</t>
        </is>
      </c>
      <c r="H9" s="2" t="inlineStr">
        <is>
          <t>instagram.com/dr.nourlab/reel/DaSyFToNqOM/</t>
        </is>
      </c>
    </row>
    <row r="10">
      <c r="A10" s="2" t="inlineStr">
        <is>
          <t>خطة حزيران</t>
        </is>
      </c>
      <c r="B10" s="2" t="inlineStr">
        <is>
          <t>ريل</t>
        </is>
      </c>
      <c r="C10" s="2" t="n">
        <v>3</v>
      </c>
      <c r="D10" s="2" t="inlineStr">
        <is>
          <t>مو كل تحليل بنعمله للإطمئنان</t>
        </is>
      </c>
      <c r="E10" s="2" t="inlineStr"/>
      <c r="F10" s="2" t="inlineStr">
        <is>
          <t>2026-07-09</t>
        </is>
      </c>
      <c r="G10" s="2" t="inlineStr">
        <is>
          <t>منشور</t>
        </is>
      </c>
      <c r="H10" s="2" t="inlineStr">
        <is>
          <t>instagram.com/dr.nourlab/reel/DakrsGctSSu/</t>
        </is>
      </c>
    </row>
    <row r="11">
      <c r="A11" s="2" t="inlineStr">
        <is>
          <t>خطة حزيران</t>
        </is>
      </c>
      <c r="B11" s="2" t="inlineStr">
        <is>
          <t>ريل</t>
        </is>
      </c>
      <c r="C11" s="2" t="n">
        <v>4</v>
      </c>
      <c r="D11" s="2" t="inlineStr">
        <is>
          <t>التفاصيل الصغيرة بتفرق… حتى (الساعة)</t>
        </is>
      </c>
      <c r="E11" s="2" t="inlineStr"/>
      <c r="F11" s="2" t="inlineStr">
        <is>
          <t>2026-07-18</t>
        </is>
      </c>
      <c r="G11" s="2" t="inlineStr">
        <is>
          <t>منشور</t>
        </is>
      </c>
      <c r="H11" s="2" t="inlineStr">
        <is>
          <t>instagram.com/dr.nourlab/reel/Da7h_w7t-oo/ — كابشن نوال ١٨/٧</t>
        </is>
      </c>
    </row>
    <row r="12">
      <c r="A12" s="2" t="inlineStr">
        <is>
          <t>خطة تموز</t>
        </is>
      </c>
      <c r="B12" s="2" t="inlineStr">
        <is>
          <t>بوست</t>
        </is>
      </c>
      <c r="C12" s="2" t="n">
        <v>1</v>
      </c>
      <c r="D12" s="2" t="inlineStr">
        <is>
          <t>ليش طلبوا منك Ferritin مو بس حديد؟</t>
        </is>
      </c>
      <c r="E12" s="2" t="inlineStr">
        <is>
          <t>2026-07-15</t>
        </is>
      </c>
      <c r="F12" s="2" t="inlineStr">
        <is>
          <t>2026-08-17</t>
        </is>
      </c>
      <c r="G12" s="2" t="inlineStr">
        <is>
          <t>منشور</t>
        </is>
      </c>
      <c r="H12" s="2" t="inlineStr">
        <is>
          <t>تصميم سابين post 1.jpg · instagram.com/dr.nourlab/p/DcIuKQlFnDQ/</t>
        </is>
      </c>
    </row>
    <row r="13">
      <c r="A13" s="3" t="inlineStr">
        <is>
          <t>خطة تموز</t>
        </is>
      </c>
      <c r="B13" s="3" t="inlineStr">
        <is>
          <t>بوست</t>
        </is>
      </c>
      <c r="C13" s="3" t="n">
        <v>2</v>
      </c>
      <c r="D13" s="3" t="inlineStr">
        <is>
          <t>TSH طبيعي… ولسا في مشكلة؟</t>
        </is>
      </c>
      <c r="E13" s="3" t="inlineStr">
        <is>
          <t>2026-07-15</t>
        </is>
      </c>
      <c r="F13" s="3" t="inlineStr"/>
      <c r="G13" s="3" t="inlineStr">
        <is>
          <t>جاهز غير منشور</t>
        </is>
      </c>
      <c r="H13" s="3" t="inlineStr">
        <is>
          <t>تصميم سابين post 2.jpg — لا مقابل له على إنستغرام</t>
        </is>
      </c>
    </row>
    <row r="14">
      <c r="A14" s="2" t="inlineStr">
        <is>
          <t>خطة تموز</t>
        </is>
      </c>
      <c r="B14" s="2" t="inlineStr">
        <is>
          <t>بوست</t>
        </is>
      </c>
      <c r="C14" s="2" t="n">
        <v>3</v>
      </c>
      <c r="D14" s="2" t="inlineStr">
        <is>
          <t>في تحليل بيتأثر لو بس شربت قهوة</t>
        </is>
      </c>
      <c r="E14" s="2" t="inlineStr">
        <is>
          <t>2026-07-15</t>
        </is>
      </c>
      <c r="F14" s="2" t="inlineStr">
        <is>
          <t>2026-08-24</t>
        </is>
      </c>
      <c r="G14" s="2" t="inlineStr">
        <is>
          <t>منشور</t>
        </is>
      </c>
      <c r="H14" s="2" t="inlineStr">
        <is>
          <t>تصميم سابين post 3.jpg · instagram.com/dr.nourlab/p/DcbKP3UiMUs/</t>
        </is>
      </c>
    </row>
    <row r="15">
      <c r="A15" s="2" t="inlineStr">
        <is>
          <t>خطة تموز</t>
        </is>
      </c>
      <c r="B15" s="2" t="inlineStr">
        <is>
          <t>بوست</t>
        </is>
      </c>
      <c r="C15" s="2" t="n">
        <v>4</v>
      </c>
      <c r="D15" s="2" t="inlineStr">
        <is>
          <t>Vitamin D مو رقم ثابت</t>
        </is>
      </c>
      <c r="E15" s="2" t="inlineStr">
        <is>
          <t>2026-07-15</t>
        </is>
      </c>
      <c r="F15" s="2" t="inlineStr">
        <is>
          <t>2026-08-31</t>
        </is>
      </c>
      <c r="G15" s="2" t="inlineStr">
        <is>
          <t>منشور</t>
        </is>
      </c>
      <c r="H15" s="2" t="inlineStr">
        <is>
          <t>تصميم سابين post 4.jpg · instagram.com/dr.nourlab/p/DctQH9FCNiF/</t>
        </is>
      </c>
    </row>
    <row r="16">
      <c r="A16" s="3" t="inlineStr">
        <is>
          <t>خطة تموز</t>
        </is>
      </c>
      <c r="B16" s="3" t="inlineStr">
        <is>
          <t>بوست</t>
        </is>
      </c>
      <c r="C16" s="3" t="n">
        <v>5</v>
      </c>
      <c r="D16" s="3" t="inlineStr">
        <is>
          <t>الفرق بين CBC و CRP</t>
        </is>
      </c>
      <c r="E16" s="3" t="inlineStr">
        <is>
          <t>2026-07-20</t>
        </is>
      </c>
      <c r="F16" s="3" t="inlineStr"/>
      <c r="G16" s="3" t="inlineStr">
        <is>
          <t>جاهز غير منشور</t>
        </is>
      </c>
      <c r="H16" s="3" t="inlineStr">
        <is>
          <t>تصميم سابين post 5.jpg (أُعيد إرساله ٢٥/٧) — لا مقابل له على إنستغرام</t>
        </is>
      </c>
    </row>
    <row r="17">
      <c r="A17" s="3" t="inlineStr">
        <is>
          <t>خطة تموز</t>
        </is>
      </c>
      <c r="B17" s="3" t="inlineStr">
        <is>
          <t>بوست</t>
        </is>
      </c>
      <c r="C17" s="3" t="n">
        <v>6</v>
      </c>
      <c r="D17" s="3" t="inlineStr">
        <is>
          <t>تحليل PSA وصحة البروستات</t>
        </is>
      </c>
      <c r="E17" s="3" t="inlineStr">
        <is>
          <t>2026-07-20</t>
        </is>
      </c>
      <c r="F17" s="3" t="inlineStr"/>
      <c r="G17" s="3" t="inlineStr">
        <is>
          <t>جاهز غير منشور</t>
        </is>
      </c>
      <c r="H17" s="3" t="inlineStr">
        <is>
          <t>تصميم سابين post 6.jpg — لا مقابل له على إنستغرام</t>
        </is>
      </c>
    </row>
    <row r="18">
      <c r="A18" s="2" t="inlineStr">
        <is>
          <t>خطة تموز</t>
        </is>
      </c>
      <c r="B18" s="2" t="inlineStr">
        <is>
          <t>ريل</t>
        </is>
      </c>
      <c r="C18" s="2" t="n">
        <v>7</v>
      </c>
      <c r="D18" s="2" t="inlineStr">
        <is>
          <t>العطش مو دايماً بسبب الحر (تصوير/الدكتورة)</t>
        </is>
      </c>
      <c r="E18" s="2" t="inlineStr">
        <is>
          <t>2026-07-26</t>
        </is>
      </c>
      <c r="F18" s="2" t="inlineStr">
        <is>
          <t>2026-07-30</t>
        </is>
      </c>
      <c r="G18" s="2" t="inlineStr">
        <is>
          <t>منشور</t>
        </is>
      </c>
      <c r="H18" s="2" t="inlineStr">
        <is>
          <t>تصوير ماجد dr.nour july plan 1_1.mp4 · instagram.com/dr.nourlab/reel/DbamRntNz7H/</t>
        </is>
      </c>
    </row>
    <row r="19">
      <c r="A19" s="2" t="inlineStr">
        <is>
          <t>خطة تموز</t>
        </is>
      </c>
      <c r="B19" s="2" t="inlineStr">
        <is>
          <t>ريل</t>
        </is>
      </c>
      <c r="C19" s="2" t="n">
        <v>8</v>
      </c>
      <c r="D19" s="2" t="inlineStr">
        <is>
          <t>لسا عم تاخد التشخيص من الـAi؟ (funny — مايكل وسارة)</t>
        </is>
      </c>
      <c r="E19" s="2" t="inlineStr">
        <is>
          <t>2026-08-18</t>
        </is>
      </c>
      <c r="F19" s="2" t="inlineStr">
        <is>
          <t>2026-08-20</t>
        </is>
      </c>
      <c r="G19" s="2" t="inlineStr">
        <is>
          <t>منشور</t>
        </is>
      </c>
      <c r="H19" s="2" t="inlineStr">
        <is>
          <t>مونتاج أليسار mkhbar 3-8.mp4 · instagram.com/dr.nourlab/reel/DcQrlgbt-g7/</t>
        </is>
      </c>
    </row>
    <row r="20">
      <c r="A20" s="4" t="inlineStr">
        <is>
          <t>خطة تموز</t>
        </is>
      </c>
      <c r="B20" s="4" t="inlineStr">
        <is>
          <t>ريل</t>
        </is>
      </c>
      <c r="C20" s="4" t="n">
        <v>9</v>
      </c>
      <c r="D20" s="4" t="inlineStr">
        <is>
          <t>إذا ما فيك تروح عالمخبر… مخبرنا بيجي لعندك (سحب خارجي / خدمة منزلية)</t>
        </is>
      </c>
      <c r="E20" s="4" t="inlineStr"/>
      <c r="F20" s="4" t="inlineStr"/>
      <c r="G20" s="4" t="inlineStr">
        <is>
          <t>ناقص</t>
        </is>
      </c>
      <c r="H20" s="4" t="inlineStr">
        <is>
          <t>من ملف الخطة صف ٩، تصوير/الدكتورة — لا تصوير ولا مونتاج ولا نشر</t>
        </is>
      </c>
    </row>
    <row r="21">
      <c r="A21" s="2" t="inlineStr">
        <is>
          <t>خطة تموز</t>
        </is>
      </c>
      <c r="B21" s="2" t="inlineStr">
        <is>
          <t>ريل</t>
        </is>
      </c>
      <c r="C21" s="2" t="n">
        <v>10</v>
      </c>
      <c r="D21" s="2" t="inlineStr">
        <is>
          <t>الإشارة صغيرة… بس معناها كبير (مغنيزيوم)</t>
        </is>
      </c>
      <c r="E21" s="2" t="inlineStr">
        <is>
          <t>2026-07-26</t>
        </is>
      </c>
      <c r="F21" s="2" t="inlineStr">
        <is>
          <t>2026-08-06</t>
        </is>
      </c>
      <c r="G21" s="2" t="inlineStr">
        <is>
          <t>منشور</t>
        </is>
      </c>
      <c r="H21" s="2" t="inlineStr">
        <is>
          <t>تصوير ماجد dr.nour july plan 2_1.mp4 · instagram.com/dr.nourlab/reel/DbstcAMt6mQ/</t>
        </is>
      </c>
    </row>
    <row r="22">
      <c r="A22" s="2" t="inlineStr">
        <is>
          <t>خطة تموز</t>
        </is>
      </c>
      <c r="B22" s="2" t="inlineStr">
        <is>
          <t>ريل</t>
        </is>
      </c>
      <c r="C22" s="2" t="n">
        <v>11</v>
      </c>
      <c r="D22" s="2" t="inlineStr">
        <is>
          <t>مو كل كدمة عادية (CBC)</t>
        </is>
      </c>
      <c r="E22" s="2" t="inlineStr">
        <is>
          <t>2026-07-28</t>
        </is>
      </c>
      <c r="F22" s="2" t="inlineStr">
        <is>
          <t>2026-08-11</t>
        </is>
      </c>
      <c r="G22" s="2" t="inlineStr">
        <is>
          <t>منشور</t>
        </is>
      </c>
      <c r="H22" s="2" t="inlineStr">
        <is>
          <t>مونتاج أليسار «مخبر تحليل cbc July 3rd reel.mp4» · instagram.com/dr.nourlab/reel/Db5lg_XNFS6/</t>
        </is>
      </c>
    </row>
    <row r="23">
      <c r="A23" s="4" t="inlineStr">
        <is>
          <t>خطة تموز</t>
        </is>
      </c>
      <c r="B23" s="4" t="inlineStr">
        <is>
          <t>ريل</t>
        </is>
      </c>
      <c r="C23" s="4" t="n">
        <v>12</v>
      </c>
      <c r="D23" s="4" t="inlineStr">
        <is>
          <t>بتنعس مباشرة بعد الأكل؟ (مقاومة الإنسولين)</t>
        </is>
      </c>
      <c r="E23" s="4" t="inlineStr"/>
      <c r="F23" s="4" t="inlineStr"/>
      <c r="G23" s="4" t="inlineStr">
        <is>
          <t>ناقص</t>
        </is>
      </c>
      <c r="H23" s="4" t="inlineStr">
        <is>
          <t>من ملف الخطة صف ١٢، تصوير/الدكتورة — لا تصوير ولا مونتاج ولا نشر</t>
        </is>
      </c>
    </row>
    <row r="24">
      <c r="A24" s="3" t="inlineStr">
        <is>
          <t>سدّ نقص ٦ و٧</t>
        </is>
      </c>
      <c r="B24" s="3" t="inlineStr">
        <is>
          <t>ريل</t>
        </is>
      </c>
      <c r="C24" s="3" t="n">
        <v>1</v>
      </c>
      <c r="D24" s="3" t="inlineStr">
        <is>
          <t>B12 — أعراض عصبية (تنميل ووخز)</t>
        </is>
      </c>
      <c r="E24" s="3" t="inlineStr">
        <is>
          <t>2026-08-25</t>
        </is>
      </c>
      <c r="F24" s="3" t="inlineStr"/>
      <c r="G24" s="3" t="inlineStr">
        <is>
          <t>جاهز غير منشور</t>
        </is>
      </c>
      <c r="H24" s="3" t="inlineStr">
        <is>
          <t>مونتاج أليسار mkhbar 5-8.mp4 (٢٥/٨) · كرتا «إعادة تصوير ريل: تحليل B12» و«مونتاج: تحليل B12» مقفلان على اللوح</t>
        </is>
      </c>
    </row>
    <row r="25">
      <c r="A25" s="2" t="inlineStr">
        <is>
          <t>سدّ نقص ٦ و٧</t>
        </is>
      </c>
      <c r="B25" s="2" t="inlineStr">
        <is>
          <t>ريل</t>
        </is>
      </c>
      <c r="C25" s="2" t="n">
        <v>2</v>
      </c>
      <c r="D25" s="2" t="inlineStr">
        <is>
          <t>Vitamin D — «طبيعي» لا يعني مثالي</t>
        </is>
      </c>
      <c r="E25" s="2" t="inlineStr">
        <is>
          <t>2026-08-21</t>
        </is>
      </c>
      <c r="F25" s="2" t="inlineStr">
        <is>
          <t>2026-08-26</t>
        </is>
      </c>
      <c r="G25" s="2" t="inlineStr">
        <is>
          <t>منشور</t>
        </is>
      </c>
      <c r="H25" s="2" t="inlineStr">
        <is>
          <t>مونتاج أليسار mkhbar 4-8.mov · instagram.com/dr.nourlab/reel/DcgT8ZKNHHY/</t>
        </is>
      </c>
    </row>
    <row r="26">
      <c r="A26" s="3" t="inlineStr">
        <is>
          <t>سدّ نقص ٦ و٧</t>
        </is>
      </c>
      <c r="B26" s="3" t="inlineStr">
        <is>
          <t>ريل</t>
        </is>
      </c>
      <c r="C26" s="3" t="n">
        <v>3</v>
      </c>
      <c r="D26" s="3" t="inlineStr">
        <is>
          <t>بديل «القيم الطبيعية» — الدكتورة لم توافق على إعادة الأصلي</t>
        </is>
      </c>
      <c r="E26" s="3" t="inlineStr">
        <is>
          <t>2026-09-03</t>
        </is>
      </c>
      <c r="F26" s="3" t="inlineStr"/>
      <c r="G26" s="3" t="inlineStr">
        <is>
          <t>جاهز غير منشور</t>
        </is>
      </c>
      <c r="H26" s="3" t="inlineStr">
        <is>
          <t>مونتاج أليسار mkhbar 6-8.mp4 وصل ٣/٩ الساعة 14:26 · قرار القائدة (٣/٩): التصوير والمونتاج جاهزان فيُقفل كرتا ماجد وأليسار</t>
        </is>
      </c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1" customWidth="1" min="4" max="4"/>
    <col width="17" customWidth="1" min="5" max="5"/>
    <col width="9" customWidth="1" min="6" max="6"/>
    <col width="9" customWidth="1" min="7" max="7"/>
  </cols>
  <sheetData>
    <row r="1">
      <c r="A1" s="1" t="inlineStr">
        <is>
          <t>الخطة</t>
        </is>
      </c>
      <c r="B1" s="1" t="inlineStr">
        <is>
          <t>النوع</t>
        </is>
      </c>
      <c r="C1" s="1" t="inlineStr">
        <is>
          <t>المستحق</t>
        </is>
      </c>
      <c r="D1" s="1" t="inlineStr">
        <is>
          <t>منشور</t>
        </is>
      </c>
      <c r="E1" s="1" t="inlineStr">
        <is>
          <t>جاهز غير منشور</t>
        </is>
      </c>
      <c r="F1" s="1" t="inlineStr">
        <is>
          <t>ناقص</t>
        </is>
      </c>
      <c r="G1" s="1" t="inlineStr">
        <is>
          <t>ملغى</t>
        </is>
      </c>
    </row>
    <row r="2">
      <c r="A2" s="5" t="inlineStr">
        <is>
          <t>خطة حزيران</t>
        </is>
      </c>
      <c r="B2" s="5" t="inlineStr">
        <is>
          <t>بوست</t>
        </is>
      </c>
      <c r="C2" s="5" t="n">
        <v>6</v>
      </c>
      <c r="D2" s="5">
        <f>COUNTIFS(الجرد!$A$2:$A$26,$A2,الجرد!$B$2:$B$26,$B2,الجرد!$G$2:$G$26,"منشور")</f>
        <v/>
      </c>
      <c r="E2" s="5">
        <f>COUNTIFS(الجرد!$A$2:$A$26,$A2,الجرد!$B$2:$B$26,$B2,الجرد!$G$2:$G$26,"جاهز غير منشور")</f>
        <v/>
      </c>
      <c r="F2" s="5">
        <f>COUNTIFS(الجرد!$A$2:$A$26,$A2,الجرد!$B$2:$B$26,$B2,الجرد!$G$2:$G$26,"ناقص")</f>
        <v/>
      </c>
      <c r="G2" s="5">
        <f>COUNTIFS(الجرد!$A$2:$A$26,$A2,الجرد!$B$2:$B$26,$B2,الجرد!$G$2:$G$26,"ملغى")</f>
        <v/>
      </c>
    </row>
    <row r="3">
      <c r="A3" s="5" t="inlineStr">
        <is>
          <t>خطة حزيران</t>
        </is>
      </c>
      <c r="B3" s="5" t="inlineStr">
        <is>
          <t>ريل</t>
        </is>
      </c>
      <c r="C3" s="5" t="n">
        <v>4</v>
      </c>
      <c r="D3" s="5">
        <f>COUNTIFS(الجرد!$A$2:$A$26,$A3,الجرد!$B$2:$B$26,$B3,الجرد!$G$2:$G$26,"منشور")</f>
        <v/>
      </c>
      <c r="E3" s="5">
        <f>COUNTIFS(الجرد!$A$2:$A$26,$A3,الجرد!$B$2:$B$26,$B3,الجرد!$G$2:$G$26,"جاهز غير منشور")</f>
        <v/>
      </c>
      <c r="F3" s="5">
        <f>COUNTIFS(الجرد!$A$2:$A$26,$A3,الجرد!$B$2:$B$26,$B3,الجرد!$G$2:$G$26,"ناقص")</f>
        <v/>
      </c>
      <c r="G3" s="5">
        <f>COUNTIFS(الجرد!$A$2:$A$26,$A3,الجرد!$B$2:$B$26,$B3,الجرد!$G$2:$G$26,"ملغى")</f>
        <v/>
      </c>
    </row>
    <row r="4">
      <c r="A4" s="5" t="inlineStr">
        <is>
          <t>خطة تموز</t>
        </is>
      </c>
      <c r="B4" s="5" t="inlineStr">
        <is>
          <t>بوست</t>
        </is>
      </c>
      <c r="C4" s="5" t="n">
        <v>6</v>
      </c>
      <c r="D4" s="5">
        <f>COUNTIFS(الجرد!$A$2:$A$26,$A4,الجرد!$B$2:$B$26,$B4,الجرد!$G$2:$G$26,"منشور")</f>
        <v/>
      </c>
      <c r="E4" s="5">
        <f>COUNTIFS(الجرد!$A$2:$A$26,$A4,الجرد!$B$2:$B$26,$B4,الجرد!$G$2:$G$26,"جاهز غير منشور")</f>
        <v/>
      </c>
      <c r="F4" s="5">
        <f>COUNTIFS(الجرد!$A$2:$A$26,$A4,الجرد!$B$2:$B$26,$B4,الجرد!$G$2:$G$26,"ناقص")</f>
        <v/>
      </c>
      <c r="G4" s="5">
        <f>COUNTIFS(الجرد!$A$2:$A$26,$A4,الجرد!$B$2:$B$26,$B4,الجرد!$G$2:$G$26,"ملغى")</f>
        <v/>
      </c>
    </row>
    <row r="5">
      <c r="A5" s="5" t="inlineStr">
        <is>
          <t>خطة تموز</t>
        </is>
      </c>
      <c r="B5" s="5" t="inlineStr">
        <is>
          <t>ريل</t>
        </is>
      </c>
      <c r="C5" s="5" t="n">
        <v>6</v>
      </c>
      <c r="D5" s="5">
        <f>COUNTIFS(الجرد!$A$2:$A$26,$A5,الجرد!$B$2:$B$26,$B5,الجرد!$G$2:$G$26,"منشور")</f>
        <v/>
      </c>
      <c r="E5" s="5">
        <f>COUNTIFS(الجرد!$A$2:$A$26,$A5,الجرد!$B$2:$B$26,$B5,الجرد!$G$2:$G$26,"جاهز غير منشور")</f>
        <v/>
      </c>
      <c r="F5" s="5">
        <f>COUNTIFS(الجرد!$A$2:$A$26,$A5,الجرد!$B$2:$B$26,$B5,الجرد!$G$2:$G$26,"ناقص")</f>
        <v/>
      </c>
      <c r="G5" s="5">
        <f>COUNTIFS(الجرد!$A$2:$A$26,$A5,الجرد!$B$2:$B$26,$B5,الجرد!$G$2:$G$26,"ملغى")</f>
        <v/>
      </c>
    </row>
    <row r="6">
      <c r="A6" s="5" t="inlineStr">
        <is>
          <t>سدّ نقص ٦ و٧</t>
        </is>
      </c>
      <c r="B6" s="5" t="inlineStr">
        <is>
          <t>ريل</t>
        </is>
      </c>
      <c r="C6" s="5" t="n">
        <v>3</v>
      </c>
      <c r="D6" s="5">
        <f>COUNTIFS(الجرد!$A$2:$A$26,$A6,الجرد!$B$2:$B$26,$B6,الجرد!$G$2:$G$26,"منشور")</f>
        <v/>
      </c>
      <c r="E6" s="5">
        <f>COUNTIFS(الجرد!$A$2:$A$26,$A6,الجرد!$B$2:$B$26,$B6,الجرد!$G$2:$G$26,"جاهز غير منشور")</f>
        <v/>
      </c>
      <c r="F6" s="5">
        <f>COUNTIFS(الجرد!$A$2:$A$26,$A6,الجرد!$B$2:$B$26,$B6,الجرد!$G$2:$G$26,"ناقص")</f>
        <v/>
      </c>
      <c r="G6" s="5">
        <f>COUNTIFS(الجرد!$A$2:$A$26,$A6,الجرد!$B$2:$B$26,$B6,الجرد!$G$2:$G$26,"ملغى")</f>
        <v/>
      </c>
    </row>
    <row r="7">
      <c r="A7" s="6" t="inlineStr">
        <is>
          <t>المجموع</t>
        </is>
      </c>
      <c r="B7" s="6" t="n"/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</row>
    <row r="9">
      <c r="A9" s="7" t="inlineStr">
        <is>
          <t>ملاحظات</t>
        </is>
      </c>
    </row>
    <row r="10">
      <c r="A10" s="8" t="inlineStr">
        <is>
          <t>• المطابقة **بالمحتوى**: كل سطر عنوانه مأخوذ من ملف الخطة نفسه، لا من العدّ.</t>
        </is>
      </c>
    </row>
    <row r="11">
      <c r="A11" s="8" t="inlineStr">
        <is>
          <t>• ملفات الخطط: «المخبر - June Posts.docx» (نوال ٦/٦) · «المخبر - July Plan-.docx» (٢٣/٦ ثم ١/٧) · «3 Scripts For Shooting.pdf» (٢٠/٦ و٢٢/٦).</t>
        </is>
      </c>
    </row>
    <row r="12">
      <c r="A12" s="8" t="inlineStr">
        <is>
          <t>• ريلات حزيران بلا ملف خطة (الملف للبوستات فقط)، فعناوينها من كابشناتها المنشورة والمستحق مأخوذ من عدد ما نُشر.</t>
        </is>
      </c>
    </row>
    <row r="13">
      <c r="A13" s="8" t="inlineStr">
        <is>
          <t>• «تاريخ الإنتاج» = يوم تسليم الملف على تلغرام. فاضي = لا تسليم مسجَّل.</t>
        </is>
      </c>
    </row>
    <row r="14">
      <c r="A14" s="8" t="inlineStr">
        <is>
          <t>• لا توجد خطة آب: كل ما نُشر بعد ١٥/٨ تأخير من خطتَي حزيران وتموز (قرار القائدة ٣/٩).</t>
        </is>
      </c>
    </row>
    <row r="15">
      <c r="A15" s="8" t="inlineStr">
        <is>
          <t>• الثلاثة سكريبتات كُتبت في حزيران لسدّ نقص ريلات ٦ و٧: Vitamin D نُشر ٢٦/٨ · B12 جاهز من ٢٥/٨ · بديل «القيم الطبيعية» جاهز من ٣/٩. فالجاهز غير المنشور من الريلات اتنين.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2026-09-03T12:45:58Z</dcterms:created>
  <dcterms:modified xmlns:dcterms="http://purl.org/dc/terms/" xmlns:xsi="http://www.w3.org/2001/XMLSchema-instance" xsi:type="dcterms:W3CDTF">2026-09-03T12:45:58Z</dcterms:modified>
</cp:coreProperties>
</file>